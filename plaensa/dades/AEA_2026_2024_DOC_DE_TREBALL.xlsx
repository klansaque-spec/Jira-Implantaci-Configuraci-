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X:\RSMNord\Atenció al Ciutadà\Àmbit Territorial\Humanització sistema sanitari\Plaensa\2026\Atenció Especialitzada Ambulatòria\Resultats i Docs de treball\"/>
    </mc:Choice>
  </mc:AlternateContent>
  <xr:revisionPtr revIDLastSave="0" documentId="13_ncr:1_{9EA2D5FC-2082-4F87-A639-164B5201F549}" xr6:coauthVersionLast="47" xr6:coauthVersionMax="47" xr10:uidLastSave="{00000000-0000-0000-0000-000000000000}"/>
  <bookViews>
    <workbookView xWindow="28680" yWindow="-19695" windowWidth="51840" windowHeight="21120" activeTab="1" xr2:uid="{00000000-000D-0000-FFFF-FFFF00000000}"/>
  </bookViews>
  <sheets>
    <sheet name="Comparatiu PLAENSA" sheetId="1" r:id="rId1"/>
    <sheet name="Full1" sheetId="4" r:id="rId2"/>
    <sheet name="Llegenda i sectors" sheetId="2" r:id="rId3"/>
    <sheet name="Resum millor i pitjor" sheetId="3" r:id="rId4"/>
  </sheets>
  <definedNames>
    <definedName name="_xlnm._FilterDatabase" localSheetId="0" hidden="1">'Comparatiu PLAENSA'!$B$4:$AI$25</definedName>
    <definedName name="_xlnm._FilterDatabase" localSheetId="3" hidden="1">'Resum millor i pitjor'!$A$1:$E$11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4" i="1" l="1"/>
  <c r="AG24" i="1"/>
  <c r="AD24" i="1"/>
  <c r="AA24" i="1"/>
  <c r="X24" i="1"/>
  <c r="U24" i="1"/>
  <c r="R24" i="1"/>
  <c r="O24" i="1"/>
  <c r="L24" i="1"/>
  <c r="I24" i="1"/>
  <c r="F24" i="1"/>
  <c r="AJ23" i="1"/>
  <c r="AG23" i="1"/>
  <c r="AD23" i="1"/>
  <c r="AA23" i="1"/>
  <c r="X23" i="1"/>
  <c r="U23" i="1"/>
  <c r="R23" i="1"/>
  <c r="O23" i="1"/>
  <c r="L23" i="1"/>
  <c r="I23" i="1"/>
  <c r="F23" i="1"/>
  <c r="AJ22" i="1"/>
  <c r="AG22" i="1"/>
  <c r="AD22" i="1"/>
  <c r="AA22" i="1"/>
  <c r="X22" i="1"/>
  <c r="U22" i="1"/>
  <c r="R22" i="1"/>
  <c r="O22" i="1"/>
  <c r="L22" i="1"/>
  <c r="I22" i="1"/>
  <c r="F22" i="1"/>
  <c r="AJ21" i="1"/>
  <c r="AG21" i="1"/>
  <c r="AD21" i="1"/>
  <c r="AA21" i="1"/>
  <c r="X21" i="1"/>
  <c r="U21" i="1"/>
  <c r="R21" i="1"/>
  <c r="O21" i="1"/>
  <c r="L21" i="1"/>
  <c r="I21" i="1"/>
  <c r="F21" i="1"/>
  <c r="AJ19" i="1"/>
  <c r="AG19" i="1"/>
  <c r="AD19" i="1"/>
  <c r="AA19" i="1"/>
  <c r="X19" i="1"/>
  <c r="U19" i="1"/>
  <c r="R19" i="1"/>
  <c r="O19" i="1"/>
  <c r="L19" i="1"/>
  <c r="I19" i="1"/>
  <c r="F19" i="1"/>
  <c r="AJ18" i="1"/>
  <c r="AG18" i="1"/>
  <c r="AD18" i="1"/>
  <c r="AA18" i="1"/>
  <c r="X18" i="1"/>
  <c r="U18" i="1"/>
  <c r="R18" i="1"/>
  <c r="O18" i="1"/>
  <c r="L18" i="1"/>
  <c r="I18" i="1"/>
  <c r="F18" i="1"/>
  <c r="AJ17" i="1"/>
  <c r="AG17" i="1"/>
  <c r="AD17" i="1"/>
  <c r="AA17" i="1"/>
  <c r="X17" i="1"/>
  <c r="U17" i="1"/>
  <c r="R17" i="1"/>
  <c r="O17" i="1"/>
  <c r="L17" i="1"/>
  <c r="I17" i="1"/>
  <c r="F17" i="1"/>
  <c r="AJ16" i="1"/>
  <c r="AG16" i="1"/>
  <c r="AD16" i="1"/>
  <c r="AA16" i="1"/>
  <c r="X16" i="1"/>
  <c r="U16" i="1"/>
  <c r="R16" i="1"/>
  <c r="O16" i="1"/>
  <c r="L16" i="1"/>
  <c r="I16" i="1"/>
  <c r="F16" i="1"/>
  <c r="AJ15" i="1"/>
  <c r="AG15" i="1"/>
  <c r="AD15" i="1"/>
  <c r="AA15" i="1"/>
  <c r="X15" i="1"/>
  <c r="U15" i="1"/>
  <c r="R15" i="1"/>
  <c r="O15" i="1"/>
  <c r="L15" i="1"/>
  <c r="I15" i="1"/>
  <c r="F15" i="1"/>
  <c r="AJ14" i="1"/>
  <c r="AG14" i="1"/>
  <c r="AD14" i="1"/>
  <c r="AA14" i="1"/>
  <c r="X14" i="1"/>
  <c r="U14" i="1"/>
  <c r="R14" i="1"/>
  <c r="O14" i="1"/>
  <c r="L14" i="1"/>
  <c r="I14" i="1"/>
  <c r="F14" i="1"/>
  <c r="AJ12" i="1"/>
  <c r="AG12" i="1"/>
  <c r="AD12" i="1"/>
  <c r="AA12" i="1"/>
  <c r="X12" i="1"/>
  <c r="U12" i="1"/>
  <c r="R12" i="1"/>
  <c r="O12" i="1"/>
  <c r="L12" i="1"/>
  <c r="I12" i="1"/>
  <c r="F12" i="1"/>
  <c r="AJ11" i="1"/>
  <c r="AG11" i="1"/>
  <c r="AD11" i="1"/>
  <c r="AA11" i="1"/>
  <c r="X11" i="1"/>
  <c r="U11" i="1"/>
  <c r="R11" i="1"/>
  <c r="O11" i="1"/>
  <c r="L11" i="1"/>
  <c r="I11" i="1"/>
  <c r="F11" i="1"/>
  <c r="AJ10" i="1"/>
  <c r="AG10" i="1"/>
  <c r="AD10" i="1"/>
  <c r="AA10" i="1"/>
  <c r="X10" i="1"/>
  <c r="U10" i="1"/>
  <c r="R10" i="1"/>
  <c r="O10" i="1"/>
  <c r="L10" i="1"/>
  <c r="I10" i="1"/>
  <c r="F10" i="1"/>
  <c r="AJ9" i="1"/>
  <c r="AG9" i="1"/>
  <c r="AD9" i="1"/>
  <c r="AA9" i="1"/>
  <c r="X9" i="1"/>
  <c r="U9" i="1"/>
  <c r="R9" i="1"/>
  <c r="O9" i="1"/>
  <c r="L9" i="1"/>
  <c r="I9" i="1"/>
  <c r="F9" i="1"/>
  <c r="AJ8" i="1"/>
  <c r="AG8" i="1"/>
  <c r="AD8" i="1"/>
  <c r="AA8" i="1"/>
  <c r="X8" i="1"/>
  <c r="U8" i="1"/>
  <c r="R8" i="1"/>
  <c r="O8" i="1"/>
  <c r="L8" i="1"/>
  <c r="I8" i="1"/>
  <c r="F8" i="1"/>
  <c r="AJ7" i="1"/>
  <c r="AG7" i="1"/>
  <c r="AD7" i="1"/>
  <c r="AA7" i="1"/>
  <c r="X7" i="1"/>
  <c r="U7" i="1"/>
  <c r="R7" i="1"/>
  <c r="O7" i="1"/>
  <c r="L7" i="1"/>
  <c r="I7" i="1"/>
  <c r="F7" i="1"/>
  <c r="AJ6" i="1"/>
  <c r="AG6" i="1"/>
  <c r="AD6" i="1"/>
  <c r="AA6" i="1"/>
  <c r="X6" i="1"/>
  <c r="U6" i="1"/>
  <c r="R6" i="1"/>
  <c r="O6" i="1"/>
  <c r="L6" i="1"/>
  <c r="I6" i="1"/>
  <c r="F6" i="1"/>
  <c r="AJ5" i="1"/>
  <c r="AG5" i="1"/>
  <c r="AD5" i="1"/>
  <c r="AA5" i="1"/>
  <c r="X5" i="1"/>
  <c r="U5" i="1"/>
  <c r="R5" i="1"/>
  <c r="O5" i="1"/>
  <c r="L5" i="1"/>
  <c r="I5" i="1"/>
  <c r="F5" i="1"/>
</calcChain>
</file>

<file path=xl/sharedStrings.xml><?xml version="1.0" encoding="utf-8"?>
<sst xmlns="http://schemas.openxmlformats.org/spreadsheetml/2006/main" count="168" uniqueCount="93">
  <si>
    <t>PLAENSA AEA 2026 · Comparatiu Metropolitana Nord</t>
  </si>
  <si>
    <t>Diferència = resultat 2026 − resultat 2024. Ombrejat de diferències: verd &gt; +5 punts i vermell &lt; −5 punts; P102: ±0,5 punts. Contorn: únic millor/pitjor global del sector. Icones 2026: vermell &lt;75; taronja 75–89,9; verd ≥90.</t>
  </si>
  <si>
    <t>Àmbit</t>
  </si>
  <si>
    <t>Dif. 26 vs 24</t>
  </si>
  <si>
    <t>Pregunta resumida</t>
  </si>
  <si>
    <t>Catalunya</t>
  </si>
  <si>
    <t>UP 272 - H. U. Germans Trias i Pujol de Badalona</t>
  </si>
  <si>
    <t>Dif 26vs25_UP 272 - H. U. Germans Trias i Pujol de Badalona</t>
  </si>
  <si>
    <t>UP 729 - Hospital Universitari Mútua de Terrassa</t>
  </si>
  <si>
    <t>Dif 26vs25_UP 729 - Hospital Universitari Mútua de Terrassa</t>
  </si>
  <si>
    <t>UP 734 - Fundació Hospital de l'Esperit Sant</t>
  </si>
  <si>
    <t>Dif 26vs25_UP 734 - Fundació Hospital de l'Esperit Sant</t>
  </si>
  <si>
    <t>UP 741 - Hospital de Sabadell</t>
  </si>
  <si>
    <t>Dif 26vs25_UP 741 - Hospital de Sabadell</t>
  </si>
  <si>
    <t>UP 743 - Hospital de Sant Celoni</t>
  </si>
  <si>
    <t>Dif 26vs25_UP 743 - Hospital de Sant Celoni</t>
  </si>
  <si>
    <t>UP 744 - Hospital de Terrassa</t>
  </si>
  <si>
    <t>Dif 26vs25_UP 744 - Hospital de Terrassa</t>
  </si>
  <si>
    <t>UP 750 - Hospital General de Granollers</t>
  </si>
  <si>
    <t>Dif 26vs25_UP 750 - Hospital General de Granollers</t>
  </si>
  <si>
    <t>UP 753 - Hospital Municipal de Badalona</t>
  </si>
  <si>
    <t>Dif 26vs25_UP 753 - Hospital Municipal de Badalona</t>
  </si>
  <si>
    <t>UP 908 - Hospital de Mollet</t>
  </si>
  <si>
    <t>Dif 26vs25_UP 908 - Hospital de Mollet</t>
  </si>
  <si>
    <t>UP 1425 - Hospital de Mataró</t>
  </si>
  <si>
    <t>Dif 26vs25_UP 1425 - Hospital de Mataró</t>
  </si>
  <si>
    <t>UP 3536 - ICO Badalona</t>
  </si>
  <si>
    <t>Dif 26vs25_UP 3536 - ICO Badalona</t>
  </si>
  <si>
    <t>P2 Temps d’espera entre sol·licitud  i dia de visita</t>
  </si>
  <si>
    <t>P3 Temps d’espera a la sala d’espera</t>
  </si>
  <si>
    <t>P4 Comoditat sala d’espera</t>
  </si>
  <si>
    <t xml:space="preserve">P5 Quantitat de persones sala d'espera </t>
  </si>
  <si>
    <t>P6 Neteja del centre</t>
  </si>
  <si>
    <t>P7 L’especialista l’escolta amb atenció i interès</t>
  </si>
  <si>
    <t>P8 L’especialista es posa en el seu lloc</t>
  </si>
  <si>
    <t>P9 Respecte a  la seva intimitat</t>
  </si>
  <si>
    <t>P10 Temps que li va dedicar l'especialista era adequat</t>
  </si>
  <si>
    <t>P11 Explicacions sobre la seva malaltia i tractament</t>
  </si>
  <si>
    <t xml:space="preserve">P12 Informació sobre les proves que li havien de fer </t>
  </si>
  <si>
    <t>P13 Tracte personal del metge o metgessa</t>
  </si>
  <si>
    <t xml:space="preserve">P14 Tracte personal de l'infermer o infermera </t>
  </si>
  <si>
    <t xml:space="preserve">P15 Tracte personal dels administratius </t>
  </si>
  <si>
    <t>P16 Coordinació metge de primària i l’especialista</t>
  </si>
  <si>
    <t>P17 Coordinació entre diferents especialistes</t>
  </si>
  <si>
    <t>P18 Va entendre tot el que havia de fer</t>
  </si>
  <si>
    <t>P19 Seguiment i control del seu problema de salut</t>
  </si>
  <si>
    <t>P101 Grau de satisfacció global</t>
  </si>
  <si>
    <t>P102 Continuaria venint?</t>
  </si>
  <si>
    <t>Criteris aplicats</t>
  </si>
  <si>
    <t>Diferències</t>
  </si>
  <si>
    <t>2026 − 2024</t>
  </si>
  <si>
    <t>Ombrejat verd</t>
  </si>
  <si>
    <t>Augment superior a 5 punts percentuals (P102: superior a 0,5 punts; P101: superior a 0,5 punts sobre 10).</t>
  </si>
  <si>
    <t>Ombrejat vermell</t>
  </si>
  <si>
    <t>Disminució superior a 5 punts percentuals (P102: superior a 0,5 punts; P101: superior a 0,5 punts sobre 10).</t>
  </si>
  <si>
    <t>Marc verd</t>
  </si>
  <si>
    <t>Marc verd: millor resultat global del 2026 entre tots els indicadors i hospitals del sector. Només se’n marca un, excepte si hi ha empat.</t>
  </si>
  <si>
    <t>Marc vermell</t>
  </si>
  <si>
    <t>Marc vermell: pitjor resultat global del 2026 entre tots els indicadors i hospitals del sector. Només se’n marca un, excepte si hi ha empat.</t>
  </si>
  <si>
    <t>Sector amb un únic hospital</t>
  </si>
  <si>
    <t>La puntuació P101 (0-10) s’ha normalitzat a escala 0-1 només per identificar els extrems de manera comparable amb els percentatges. Guttmann queda exclòs.</t>
  </si>
  <si>
    <t>Hospital</t>
  </si>
  <si>
    <t>Sector sanitari utilitzat</t>
  </si>
  <si>
    <t>Vallès Oriental</t>
  </si>
  <si>
    <t>Vallès Occidental Est</t>
  </si>
  <si>
    <t>Vallès Occidental Oest</t>
  </si>
  <si>
    <t>Barcelonès Nord i Baix Maresme</t>
  </si>
  <si>
    <t>Maresme Central</t>
  </si>
  <si>
    <t>Exclusions</t>
  </si>
  <si>
    <t>Guttmann (hospital monogràfic) i centres no inclosos en els sectors indicats.</t>
  </si>
  <si>
    <t>Icones dels resultats 2026</t>
  </si>
  <si>
    <t>Vermell: &lt;75% (àrea de millora). Taronja: 75%–89,9% (àrea estàndard). Verd: ≥90% (àrea d’excel·lència). P101, escala numèrica 1–10: vermell &lt;7,5; taronja de 7,5 a 8,9; verd ≥9. P102 aplica els mateixos llindars percentuals que la resta d’indicadors.</t>
  </si>
  <si>
    <t>Colors del número</t>
  </si>
  <si>
    <t>Es conserven els números verds o vermells de l’arxiu original, que indiquen significació estadística positiva o negativa respecte de Catalunya.</t>
  </si>
  <si>
    <t>Sector</t>
  </si>
  <si>
    <t>Classificació</t>
  </si>
  <si>
    <t>Indicador</t>
  </si>
  <si>
    <t>Resultat 2026</t>
  </si>
  <si>
    <t>Millor</t>
  </si>
  <si>
    <t>Pitjor</t>
  </si>
  <si>
    <t>2.- KPY el infdicado millor de la RSBMN i per sector i el pitjor  (Top 5 pitjo i millor)- Perstaña de satisfaccio i fidelitat (un semafor vermell inferior o igual a 75, taronja entre 75 i menuy de 90%   i verd sobre 90%)</t>
  </si>
  <si>
    <t xml:space="preserve">tingues en compte pregunta P101 Grau de satisfacció global es del 1 al 10 </t>
  </si>
  <si>
    <t>3.- Una comparativa evolutiva per centre i comparable per sector i per regio (p.e Can riti amb BSA i Esperit sant....)</t>
  </si>
  <si>
    <t xml:space="preserve">4.- Comparativa evolucio centre sector i regio per pregunta  seleccionable a voluntat ( multi seleccio de preguntes ) han de ser pestaña de indicadors trasnversals i especifics ( </t>
  </si>
  <si>
    <t>5.- Revisar per centre el estat i informe de les accions de milora dels que estan pitjor.  Tan els trasnversals (a decisio de el tecnic ) i els que surten pitjo per centre i poder fer informe</t>
  </si>
  <si>
    <t>Amb CPR Atencio urgencia (p7,p23,p26,p102)</t>
  </si>
  <si>
    <t>Amb CPR de Primaria : p2,p9,p15,p102</t>
  </si>
  <si>
    <t>1.-</t>
  </si>
  <si>
    <t>1.- Seleccionable altres estudis, insercio de nous estudis excel (Atencio Primaria, Urgencies, Atencio Hospitalaria amb internament , terapia respiratoria domiciliaria , ATENCIO ESPECIALITZADA AMBULATORIA , Arencio intermedia  (totes aniaran amb format excel de carrega com comparatiu plaensa, embaraç ,part i puerperi)</t>
  </si>
  <si>
    <t xml:space="preserve">6.- Qu es pugi extreure una presentacio tipus per pestaña de estufi de plaensa (format ) </t>
  </si>
  <si>
    <t>Amb CPR TRD p,4,p5.p7,p9</t>
  </si>
  <si>
    <t xml:space="preserve">6.- cada pestaña per estudi i subpestañes per a ranalisis i estudi per cnetro i pregunta i sector i regio. </t>
  </si>
  <si>
    <t>Si la cela esta envoltada per vermell es el pitjor indicador per centre , sector i regio.  Identifica prgunta pitjor i millor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</si>
</sst>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66666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9"/>
      <color rgb="FF7F0000"/>
      <name val="Calibri"/>
    </font>
    <font>
      <sz val="11"/>
      <color rgb="FF0000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F0000"/>
      </patternFill>
    </fill>
    <fill>
      <patternFill patternType="solid">
        <fgColor rgb="FF9C0006"/>
      </patternFill>
    </fill>
    <fill>
      <patternFill patternType="solid">
        <fgColor rgb="FFB45F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7F7F7"/>
      </patternFill>
    </fill>
    <fill>
      <patternFill patternType="solid">
        <fgColor rgb="FFF3D6D6"/>
      </patternFill>
    </fill>
  </fills>
  <borders count="4">
    <border>
      <left/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/>
      <bottom/>
      <diagonal/>
    </border>
    <border>
      <left style="thick">
        <color rgb="FF00A651"/>
      </left>
      <right style="thick">
        <color rgb="FF00A651"/>
      </right>
      <top style="thick">
        <color rgb="FF00A651"/>
      </top>
      <bottom style="thick">
        <color rgb="FF00A65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 applyAlignment="1">
      <alignment vertical="center" wrapText="1"/>
    </xf>
    <xf numFmtId="164" fontId="0" fillId="7" borderId="0" xfId="0" applyNumberFormat="1" applyFill="1" applyAlignment="1">
      <alignment horizontal="center"/>
    </xf>
    <xf numFmtId="0" fontId="0" fillId="6" borderId="0" xfId="0" applyFill="1"/>
    <xf numFmtId="0" fontId="0" fillId="5" borderId="0" xfId="0" applyFill="1"/>
    <xf numFmtId="2" fontId="0" fillId="0" borderId="0" xfId="0" applyNumberFormat="1" applyAlignment="1">
      <alignment horizontal="center"/>
    </xf>
    <xf numFmtId="0" fontId="4" fillId="3" borderId="0" xfId="0" applyFont="1" applyFill="1"/>
    <xf numFmtId="0" fontId="0" fillId="0" borderId="0" xfId="0" applyAlignment="1">
      <alignment vertical="top" wrapText="1"/>
    </xf>
    <xf numFmtId="0" fontId="5" fillId="4" borderId="0" xfId="0" applyFont="1" applyFill="1" applyAlignment="1">
      <alignment vertical="top" wrapText="1"/>
    </xf>
    <xf numFmtId="164" fontId="0" fillId="0" borderId="2" xfId="0" applyNumberFormat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6" fillId="8" borderId="0" xfId="0" applyFont="1" applyFill="1" applyAlignment="1">
      <alignment horizontal="center" vertical="center" wrapText="1"/>
    </xf>
    <xf numFmtId="0" fontId="5" fillId="3" borderId="0" xfId="0" applyFont="1" applyFill="1"/>
    <xf numFmtId="164" fontId="0" fillId="0" borderId="0" xfId="0" applyNumberFormat="1"/>
    <xf numFmtId="164" fontId="7" fillId="0" borderId="2" xfId="0" applyNumberFormat="1" applyFont="1" applyBorder="1" applyAlignment="1">
      <alignment horizontal="center"/>
    </xf>
    <xf numFmtId="164" fontId="7" fillId="7" borderId="2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7" borderId="3" xfId="0" applyNumberFormat="1" applyFont="1" applyFill="1" applyBorder="1" applyAlignment="1">
      <alignment horizontal="center"/>
    </xf>
    <xf numFmtId="164" fontId="9" fillId="7" borderId="2" xfId="0" applyNumberFormat="1" applyFont="1" applyFill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H10" sqref="H10"/>
    </sheetView>
  </sheetViews>
  <sheetFormatPr defaultRowHeight="14.5" x14ac:dyDescent="0.35"/>
  <cols>
    <col min="1" max="1" width="2" customWidth="1"/>
    <col min="2" max="2" width="46" customWidth="1"/>
    <col min="3" max="3" width="13" customWidth="1"/>
    <col min="4" max="5" width="14" customWidth="1"/>
    <col min="6" max="6" width="18" customWidth="1"/>
    <col min="7" max="8" width="14" customWidth="1"/>
    <col min="9" max="9" width="18" customWidth="1"/>
    <col min="10" max="11" width="14" customWidth="1"/>
    <col min="12" max="12" width="18" customWidth="1"/>
    <col min="13" max="14" width="14" customWidth="1"/>
    <col min="15" max="15" width="18" customWidth="1"/>
    <col min="16" max="17" width="14" customWidth="1"/>
    <col min="18" max="18" width="18" customWidth="1"/>
    <col min="19" max="20" width="14" customWidth="1"/>
    <col min="21" max="21" width="18" customWidth="1"/>
    <col min="22" max="23" width="14" customWidth="1"/>
    <col min="24" max="24" width="18" customWidth="1"/>
    <col min="25" max="26" width="14" customWidth="1"/>
    <col min="27" max="27" width="18" customWidth="1"/>
    <col min="28" max="29" width="14" customWidth="1"/>
    <col min="30" max="30" width="18" customWidth="1"/>
    <col min="31" max="32" width="14" customWidth="1"/>
    <col min="33" max="33" width="18" customWidth="1"/>
    <col min="34" max="35" width="14" customWidth="1"/>
    <col min="36" max="36" width="18" customWidth="1"/>
  </cols>
  <sheetData>
    <row r="1" spans="2:36" ht="28" customHeight="1" x14ac:dyDescent="0.35">
      <c r="B1" s="31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spans="2:36" x14ac:dyDescent="0.35">
      <c r="B2" s="29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2:36" ht="21" customHeight="1" x14ac:dyDescent="0.35">
      <c r="B3" s="1" t="s">
        <v>2</v>
      </c>
      <c r="C3" s="1">
        <v>2026</v>
      </c>
      <c r="D3" s="1">
        <v>2026</v>
      </c>
      <c r="E3" s="17">
        <v>2024</v>
      </c>
      <c r="F3" s="1" t="s">
        <v>3</v>
      </c>
      <c r="G3" s="1">
        <v>2026</v>
      </c>
      <c r="H3" s="17">
        <v>2024</v>
      </c>
      <c r="I3" s="1" t="s">
        <v>3</v>
      </c>
      <c r="J3" s="1">
        <v>2026</v>
      </c>
      <c r="K3" s="17">
        <v>2024</v>
      </c>
      <c r="L3" s="1" t="s">
        <v>3</v>
      </c>
      <c r="M3" s="1">
        <v>2026</v>
      </c>
      <c r="N3" s="17">
        <v>2024</v>
      </c>
      <c r="O3" s="1" t="s">
        <v>3</v>
      </c>
      <c r="P3" s="1">
        <v>2026</v>
      </c>
      <c r="Q3" s="17">
        <v>2024</v>
      </c>
      <c r="R3" s="1" t="s">
        <v>3</v>
      </c>
      <c r="S3" s="1">
        <v>2026</v>
      </c>
      <c r="T3" s="17">
        <v>2024</v>
      </c>
      <c r="U3" s="1" t="s">
        <v>3</v>
      </c>
      <c r="V3" s="1">
        <v>2026</v>
      </c>
      <c r="W3" s="17">
        <v>2024</v>
      </c>
      <c r="X3" s="1" t="s">
        <v>3</v>
      </c>
      <c r="Y3" s="1">
        <v>2026</v>
      </c>
      <c r="Z3" s="17">
        <v>2024</v>
      </c>
      <c r="AA3" s="1" t="s">
        <v>3</v>
      </c>
      <c r="AB3" s="1">
        <v>2026</v>
      </c>
      <c r="AC3" s="17">
        <v>2024</v>
      </c>
      <c r="AD3" s="1" t="s">
        <v>3</v>
      </c>
      <c r="AE3" s="1">
        <v>2026</v>
      </c>
      <c r="AF3" s="17">
        <v>2024</v>
      </c>
      <c r="AG3" s="1" t="s">
        <v>3</v>
      </c>
      <c r="AH3" s="1">
        <v>2026</v>
      </c>
      <c r="AI3" s="17">
        <v>2024</v>
      </c>
      <c r="AJ3" t="s">
        <v>3</v>
      </c>
    </row>
    <row r="4" spans="2:36" ht="72" customHeight="1" x14ac:dyDescent="0.35">
      <c r="B4" s="2" t="s">
        <v>4</v>
      </c>
      <c r="C4" s="2" t="s">
        <v>5</v>
      </c>
      <c r="D4" s="2" t="s">
        <v>6</v>
      </c>
      <c r="E4" s="17" t="s">
        <v>6</v>
      </c>
      <c r="F4" s="2" t="s">
        <v>7</v>
      </c>
      <c r="G4" s="2" t="s">
        <v>8</v>
      </c>
      <c r="H4" s="17" t="s">
        <v>8</v>
      </c>
      <c r="I4" s="2" t="s">
        <v>9</v>
      </c>
      <c r="J4" s="2" t="s">
        <v>10</v>
      </c>
      <c r="K4" s="17" t="s">
        <v>10</v>
      </c>
      <c r="L4" s="2" t="s">
        <v>11</v>
      </c>
      <c r="M4" s="2" t="s">
        <v>12</v>
      </c>
      <c r="N4" s="17" t="s">
        <v>12</v>
      </c>
      <c r="O4" s="2" t="s">
        <v>13</v>
      </c>
      <c r="P4" s="2" t="s">
        <v>14</v>
      </c>
      <c r="Q4" s="17" t="s">
        <v>14</v>
      </c>
      <c r="R4" s="2" t="s">
        <v>15</v>
      </c>
      <c r="S4" s="2" t="s">
        <v>16</v>
      </c>
      <c r="T4" s="17" t="s">
        <v>16</v>
      </c>
      <c r="U4" s="2" t="s">
        <v>17</v>
      </c>
      <c r="V4" s="2" t="s">
        <v>18</v>
      </c>
      <c r="W4" s="17" t="s">
        <v>18</v>
      </c>
      <c r="X4" s="2" t="s">
        <v>19</v>
      </c>
      <c r="Y4" s="2" t="s">
        <v>20</v>
      </c>
      <c r="Z4" s="17" t="s">
        <v>20</v>
      </c>
      <c r="AA4" s="2" t="s">
        <v>21</v>
      </c>
      <c r="AB4" s="2" t="s">
        <v>22</v>
      </c>
      <c r="AC4" s="17" t="s">
        <v>22</v>
      </c>
      <c r="AD4" s="2" t="s">
        <v>23</v>
      </c>
      <c r="AE4" s="2" t="s">
        <v>24</v>
      </c>
      <c r="AF4" s="17" t="s">
        <v>24</v>
      </c>
      <c r="AG4" s="2" t="s">
        <v>25</v>
      </c>
      <c r="AH4" s="2" t="s">
        <v>26</v>
      </c>
      <c r="AI4" s="17" t="s">
        <v>26</v>
      </c>
      <c r="AJ4" t="s">
        <v>27</v>
      </c>
    </row>
    <row r="5" spans="2:36" ht="31" customHeight="1" x14ac:dyDescent="0.35">
      <c r="B5" s="3" t="s">
        <v>28</v>
      </c>
      <c r="C5" s="4">
        <v>0.73399999999999999</v>
      </c>
      <c r="D5" s="20">
        <v>0.79900000000000004</v>
      </c>
      <c r="E5" s="4">
        <v>0.749</v>
      </c>
      <c r="F5" s="5">
        <f t="shared" ref="F5:F12" si="0">D5-E5</f>
        <v>5.0000000000000044E-2</v>
      </c>
      <c r="G5" s="20">
        <v>0.65700000000000003</v>
      </c>
      <c r="H5" s="4">
        <v>0.63300000000000001</v>
      </c>
      <c r="I5" s="4">
        <f t="shared" ref="I5:I12" si="1">G5-H5</f>
        <v>2.4000000000000021E-2</v>
      </c>
      <c r="J5" s="20">
        <v>0.71299999999999997</v>
      </c>
      <c r="K5" s="4">
        <v>0.59299999999999997</v>
      </c>
      <c r="L5" s="5">
        <f t="shared" ref="L5:L12" si="2">J5-K5</f>
        <v>0.12</v>
      </c>
      <c r="M5" s="20">
        <v>0.74099999999999999</v>
      </c>
      <c r="N5" s="4">
        <v>0.64300000000000002</v>
      </c>
      <c r="O5" s="5">
        <f t="shared" ref="O5:O12" si="3">M5-N5</f>
        <v>9.7999999999999976E-2</v>
      </c>
      <c r="P5" s="20">
        <v>0.64</v>
      </c>
      <c r="Q5" s="4">
        <v>0.74025974025974017</v>
      </c>
      <c r="R5" s="6">
        <f t="shared" ref="R5:R12" si="4">P5-Q5</f>
        <v>-0.10025974025974016</v>
      </c>
      <c r="S5" s="20">
        <v>0.75800000000000001</v>
      </c>
      <c r="T5" s="4">
        <v>0.65500000000000003</v>
      </c>
      <c r="U5" s="5">
        <f t="shared" ref="U5:U12" si="5">S5-T5</f>
        <v>0.10299999999999998</v>
      </c>
      <c r="V5" s="20">
        <v>0.66300000000000003</v>
      </c>
      <c r="W5" s="4">
        <v>0.79</v>
      </c>
      <c r="X5" s="6">
        <f t="shared" ref="X5:X12" si="6">V5-W5</f>
        <v>-0.127</v>
      </c>
      <c r="Y5" s="20">
        <v>0.69799999999999995</v>
      </c>
      <c r="Z5" s="4">
        <v>0.73699999999999999</v>
      </c>
      <c r="AA5" s="4">
        <f t="shared" ref="AA5:AA12" si="7">Y5-Z5</f>
        <v>-3.9000000000000035E-2</v>
      </c>
      <c r="AB5" s="20">
        <v>0.75</v>
      </c>
      <c r="AC5" s="4">
        <v>0.68799999999999994</v>
      </c>
      <c r="AD5" s="5">
        <f t="shared" ref="AD5:AD12" si="8">AB5-AC5</f>
        <v>6.2000000000000055E-2</v>
      </c>
      <c r="AE5" s="20">
        <v>0.73</v>
      </c>
      <c r="AF5" s="4">
        <v>0.78200000000000003</v>
      </c>
      <c r="AG5" s="6">
        <f t="shared" ref="AG5:AG12" si="9">AE5-AF5</f>
        <v>-5.2000000000000046E-2</v>
      </c>
      <c r="AH5" s="20">
        <v>0.83699999999999997</v>
      </c>
      <c r="AI5" s="4">
        <v>0.84199999999999997</v>
      </c>
      <c r="AJ5">
        <f t="shared" ref="AJ5:AJ12" si="10">AH5-AI5</f>
        <v>-5.0000000000000044E-3</v>
      </c>
    </row>
    <row r="6" spans="2:36" ht="31" customHeight="1" x14ac:dyDescent="0.35">
      <c r="B6" s="7" t="s">
        <v>29</v>
      </c>
      <c r="C6" s="8">
        <v>0.84599999999999997</v>
      </c>
      <c r="D6" s="21">
        <v>0.91700000000000004</v>
      </c>
      <c r="E6" s="8">
        <v>0.82899999999999996</v>
      </c>
      <c r="F6" s="5">
        <f t="shared" si="0"/>
        <v>8.8000000000000078E-2</v>
      </c>
      <c r="G6" s="21">
        <v>0.79100000000000004</v>
      </c>
      <c r="H6" s="8">
        <v>0.84699999999999998</v>
      </c>
      <c r="I6" s="6">
        <f t="shared" si="1"/>
        <v>-5.5999999999999939E-2</v>
      </c>
      <c r="J6" s="21">
        <v>0.83299999999999996</v>
      </c>
      <c r="K6" s="8">
        <v>0.755</v>
      </c>
      <c r="L6" s="5">
        <f t="shared" si="2"/>
        <v>7.7999999999999958E-2</v>
      </c>
      <c r="M6" s="21">
        <v>0.83399999999999996</v>
      </c>
      <c r="N6" s="8">
        <v>0.81699999999999995</v>
      </c>
      <c r="O6" s="8">
        <f t="shared" si="3"/>
        <v>1.7000000000000015E-2</v>
      </c>
      <c r="P6" s="21">
        <v>0.84399999999999997</v>
      </c>
      <c r="Q6" s="8">
        <v>0.89610389610389607</v>
      </c>
      <c r="R6" s="6">
        <f t="shared" si="4"/>
        <v>-5.2103896103896097E-2</v>
      </c>
      <c r="S6" s="21">
        <v>0.86599999999999999</v>
      </c>
      <c r="T6" s="8">
        <v>0.83699999999999997</v>
      </c>
      <c r="U6" s="8">
        <f t="shared" si="5"/>
        <v>2.9000000000000026E-2</v>
      </c>
      <c r="V6" s="21">
        <v>0.79200000000000004</v>
      </c>
      <c r="W6" s="8">
        <v>0.80800000000000005</v>
      </c>
      <c r="X6" s="8">
        <f t="shared" si="6"/>
        <v>-1.6000000000000014E-2</v>
      </c>
      <c r="Y6" s="21">
        <v>0.86699999999999999</v>
      </c>
      <c r="Z6" s="8">
        <v>0.89200000000000002</v>
      </c>
      <c r="AA6" s="8">
        <f t="shared" si="7"/>
        <v>-2.5000000000000022E-2</v>
      </c>
      <c r="AB6" s="21">
        <v>0.89600000000000002</v>
      </c>
      <c r="AC6" s="8">
        <v>0.746</v>
      </c>
      <c r="AD6" s="5">
        <f t="shared" si="8"/>
        <v>0.15000000000000002</v>
      </c>
      <c r="AE6" s="21">
        <v>0.84199999999999997</v>
      </c>
      <c r="AF6" s="8">
        <v>0.84099999999999997</v>
      </c>
      <c r="AG6" s="8">
        <f t="shared" si="9"/>
        <v>1.0000000000000009E-3</v>
      </c>
      <c r="AH6" s="21">
        <v>0.92400000000000004</v>
      </c>
      <c r="AI6" s="8">
        <v>0.88500000000000001</v>
      </c>
      <c r="AJ6">
        <f t="shared" si="10"/>
        <v>3.9000000000000035E-2</v>
      </c>
    </row>
    <row r="7" spans="2:36" ht="31" customHeight="1" x14ac:dyDescent="0.35">
      <c r="B7" s="3" t="s">
        <v>30</v>
      </c>
      <c r="C7" s="4">
        <v>0.76200000000000001</v>
      </c>
      <c r="D7" s="20">
        <v>0.86</v>
      </c>
      <c r="E7" s="4">
        <v>0.71499999999999997</v>
      </c>
      <c r="F7" s="5">
        <f t="shared" si="0"/>
        <v>0.14500000000000002</v>
      </c>
      <c r="G7" s="20">
        <v>0.84599999999999997</v>
      </c>
      <c r="H7" s="4">
        <v>0.79700000000000004</v>
      </c>
      <c r="I7" s="4">
        <f t="shared" si="1"/>
        <v>4.8999999999999932E-2</v>
      </c>
      <c r="J7" s="20">
        <v>0.71599999999999997</v>
      </c>
      <c r="K7" s="4">
        <v>0.73899999999999999</v>
      </c>
      <c r="L7" s="4">
        <f t="shared" si="2"/>
        <v>-2.300000000000002E-2</v>
      </c>
      <c r="M7" s="20">
        <v>0.70899999999999996</v>
      </c>
      <c r="N7" s="4">
        <v>0.61699999999999999</v>
      </c>
      <c r="O7" s="5">
        <f t="shared" si="3"/>
        <v>9.1999999999999971E-2</v>
      </c>
      <c r="P7" s="22">
        <v>0.64</v>
      </c>
      <c r="Q7" s="4">
        <v>0.77631578947368429</v>
      </c>
      <c r="R7" s="6">
        <f t="shared" si="4"/>
        <v>-0.13631578947368428</v>
      </c>
      <c r="S7" s="20">
        <v>0.80600000000000005</v>
      </c>
      <c r="T7" s="4">
        <v>0.75800000000000001</v>
      </c>
      <c r="U7" s="4">
        <f t="shared" si="5"/>
        <v>4.8000000000000043E-2</v>
      </c>
      <c r="V7" s="20">
        <v>0.76</v>
      </c>
      <c r="W7" s="4">
        <v>0.80200000000000005</v>
      </c>
      <c r="X7" s="4">
        <f t="shared" si="6"/>
        <v>-4.2000000000000037E-2</v>
      </c>
      <c r="Y7" s="20">
        <v>0.71499999999999997</v>
      </c>
      <c r="Z7" s="4">
        <v>0.72599999999999998</v>
      </c>
      <c r="AA7" s="4">
        <f t="shared" si="7"/>
        <v>-1.100000000000001E-2</v>
      </c>
      <c r="AB7" s="20">
        <v>0.79700000000000004</v>
      </c>
      <c r="AC7" s="4">
        <v>0.68300000000000005</v>
      </c>
      <c r="AD7" s="5">
        <f t="shared" si="8"/>
        <v>0.11399999999999999</v>
      </c>
      <c r="AE7" s="22">
        <v>0.65400000000000003</v>
      </c>
      <c r="AF7" s="4">
        <v>0.877</v>
      </c>
      <c r="AG7" s="6">
        <f t="shared" si="9"/>
        <v>-0.22299999999999998</v>
      </c>
      <c r="AH7" s="20">
        <v>0.84799999999999998</v>
      </c>
      <c r="AI7" s="4">
        <v>0.81200000000000006</v>
      </c>
      <c r="AJ7">
        <f t="shared" si="10"/>
        <v>3.5999999999999921E-2</v>
      </c>
    </row>
    <row r="8" spans="2:36" ht="31" customHeight="1" x14ac:dyDescent="0.35">
      <c r="B8" s="7" t="s">
        <v>31</v>
      </c>
      <c r="C8" s="8">
        <v>0.55600000000000005</v>
      </c>
      <c r="D8" s="21">
        <v>0.64400000000000002</v>
      </c>
      <c r="E8" s="8">
        <v>0.56499999999999995</v>
      </c>
      <c r="F8" s="5">
        <f t="shared" si="0"/>
        <v>7.900000000000007E-2</v>
      </c>
      <c r="G8" s="23">
        <v>0.45800000000000002</v>
      </c>
      <c r="H8" s="8">
        <v>0.53900000000000003</v>
      </c>
      <c r="I8" s="6">
        <f t="shared" si="1"/>
        <v>-8.1000000000000016E-2</v>
      </c>
      <c r="J8" s="23">
        <v>0.46200000000000002</v>
      </c>
      <c r="K8" s="8">
        <v>0.57899999999999996</v>
      </c>
      <c r="L8" s="6">
        <f t="shared" si="2"/>
        <v>-0.11699999999999994</v>
      </c>
      <c r="M8" s="23">
        <v>0.55300000000000005</v>
      </c>
      <c r="N8" s="8">
        <v>0.52200000000000002</v>
      </c>
      <c r="O8" s="8">
        <f t="shared" si="3"/>
        <v>3.1000000000000028E-2</v>
      </c>
      <c r="P8" s="23">
        <v>0.47899999999999998</v>
      </c>
      <c r="Q8" s="8">
        <v>0.50704225352112675</v>
      </c>
      <c r="R8" s="8">
        <f t="shared" si="4"/>
        <v>-2.804225352112677E-2</v>
      </c>
      <c r="S8" s="21">
        <v>0.61899999999999999</v>
      </c>
      <c r="T8" s="8">
        <v>0.59</v>
      </c>
      <c r="U8" s="8">
        <f t="shared" si="5"/>
        <v>2.9000000000000026E-2</v>
      </c>
      <c r="V8" s="21">
        <v>0.54600000000000004</v>
      </c>
      <c r="W8" s="8">
        <v>0.71700000000000008</v>
      </c>
      <c r="X8" s="6">
        <f t="shared" si="6"/>
        <v>-0.17100000000000004</v>
      </c>
      <c r="Y8" s="21">
        <v>0.54100000000000004</v>
      </c>
      <c r="Z8" s="8">
        <v>0.72699999999999998</v>
      </c>
      <c r="AA8" s="6">
        <f t="shared" si="7"/>
        <v>-0.18599999999999994</v>
      </c>
      <c r="AB8" s="21">
        <v>0.53600000000000003</v>
      </c>
      <c r="AC8" s="8">
        <v>0.36599999999999999</v>
      </c>
      <c r="AD8" s="5">
        <f t="shared" si="8"/>
        <v>0.17000000000000004</v>
      </c>
      <c r="AE8" s="23">
        <v>0.55000000000000004</v>
      </c>
      <c r="AF8" s="8">
        <v>0.46800000000000003</v>
      </c>
      <c r="AG8" s="5">
        <f t="shared" si="9"/>
        <v>8.2000000000000017E-2</v>
      </c>
      <c r="AH8" s="21">
        <v>0.58299999999999996</v>
      </c>
      <c r="AI8" s="8">
        <v>0.64800000000000002</v>
      </c>
      <c r="AJ8" s="9">
        <f t="shared" si="10"/>
        <v>-6.5000000000000058E-2</v>
      </c>
    </row>
    <row r="9" spans="2:36" ht="31" customHeight="1" x14ac:dyDescent="0.35">
      <c r="B9" s="3" t="s">
        <v>32</v>
      </c>
      <c r="C9" s="4">
        <v>0.96399999999999997</v>
      </c>
      <c r="D9" s="20">
        <v>0.96099999999999997</v>
      </c>
      <c r="E9" s="4">
        <v>1</v>
      </c>
      <c r="F9" s="4">
        <f t="shared" si="0"/>
        <v>-3.9000000000000035E-2</v>
      </c>
      <c r="G9" s="20">
        <v>0.96799999999999997</v>
      </c>
      <c r="H9" s="4">
        <v>0.98699999999999999</v>
      </c>
      <c r="I9" s="4">
        <f t="shared" si="1"/>
        <v>-1.9000000000000017E-2</v>
      </c>
      <c r="J9" s="20">
        <v>0.94399999999999995</v>
      </c>
      <c r="K9" s="4">
        <v>0.95299999999999996</v>
      </c>
      <c r="L9" s="4">
        <f t="shared" si="2"/>
        <v>-9.000000000000008E-3</v>
      </c>
      <c r="M9" s="24">
        <v>0.97499999999999998</v>
      </c>
      <c r="N9" s="4">
        <v>0.95499999999999996</v>
      </c>
      <c r="O9" s="4">
        <f t="shared" si="3"/>
        <v>2.0000000000000018E-2</v>
      </c>
      <c r="P9" s="20">
        <v>0.94599999999999995</v>
      </c>
      <c r="Q9" s="4">
        <v>0.93421052631578949</v>
      </c>
      <c r="R9" s="4">
        <f t="shared" si="4"/>
        <v>1.1789473684210461E-2</v>
      </c>
      <c r="S9" s="20">
        <v>0.95199999999999996</v>
      </c>
      <c r="T9" s="4">
        <v>0.97199999999999998</v>
      </c>
      <c r="U9" s="4">
        <f t="shared" si="5"/>
        <v>-2.0000000000000018E-2</v>
      </c>
      <c r="V9" s="24">
        <v>0.99199999999999999</v>
      </c>
      <c r="W9" s="4">
        <v>0.93700000000000006</v>
      </c>
      <c r="X9" s="5">
        <f t="shared" si="6"/>
        <v>5.4999999999999938E-2</v>
      </c>
      <c r="Y9" s="20">
        <v>0.99099999999999999</v>
      </c>
      <c r="Z9" s="4">
        <v>0.95899999999999996</v>
      </c>
      <c r="AA9" s="4">
        <f t="shared" si="7"/>
        <v>3.2000000000000028E-2</v>
      </c>
      <c r="AB9" s="20">
        <v>0.93899999999999995</v>
      </c>
      <c r="AC9" s="4">
        <v>0.91900000000000004</v>
      </c>
      <c r="AD9" s="4">
        <f t="shared" si="8"/>
        <v>1.9999999999999907E-2</v>
      </c>
      <c r="AE9" s="20">
        <v>0.94799999999999995</v>
      </c>
      <c r="AF9" s="4">
        <v>0.98899999999999999</v>
      </c>
      <c r="AG9" s="4">
        <f t="shared" si="9"/>
        <v>-4.1000000000000036E-2</v>
      </c>
      <c r="AH9" s="20">
        <v>0.97799999999999998</v>
      </c>
      <c r="AI9" s="4">
        <v>0.96899999999999997</v>
      </c>
      <c r="AJ9">
        <f t="shared" si="10"/>
        <v>9.000000000000008E-3</v>
      </c>
    </row>
    <row r="10" spans="2:36" ht="31" customHeight="1" x14ac:dyDescent="0.35">
      <c r="B10" s="7" t="s">
        <v>33</v>
      </c>
      <c r="C10" s="8">
        <v>0.93500000000000005</v>
      </c>
      <c r="D10" s="21">
        <v>0.99199999999999999</v>
      </c>
      <c r="E10" s="8">
        <v>0.97899999999999998</v>
      </c>
      <c r="F10" s="8">
        <f t="shared" si="0"/>
        <v>1.3000000000000012E-2</v>
      </c>
      <c r="G10" s="21">
        <v>0.93799999999999994</v>
      </c>
      <c r="H10" s="8">
        <v>0.94499999999999995</v>
      </c>
      <c r="I10" s="8">
        <f t="shared" si="1"/>
        <v>-7.0000000000000062E-3</v>
      </c>
      <c r="J10" s="21">
        <v>0.92500000000000004</v>
      </c>
      <c r="K10" s="8">
        <v>0.88700000000000001</v>
      </c>
      <c r="L10" s="8">
        <f t="shared" si="2"/>
        <v>3.8000000000000034E-2</v>
      </c>
      <c r="M10" s="21">
        <v>0.9</v>
      </c>
      <c r="N10" s="8">
        <v>0.89700000000000002</v>
      </c>
      <c r="O10" s="8">
        <f t="shared" si="3"/>
        <v>3.0000000000000027E-3</v>
      </c>
      <c r="P10" s="21">
        <v>0.92700000000000005</v>
      </c>
      <c r="Q10" s="8">
        <v>0.8666666666666667</v>
      </c>
      <c r="R10" s="5">
        <f t="shared" si="4"/>
        <v>6.033333333333335E-2</v>
      </c>
      <c r="S10" s="21">
        <v>0.91900000000000004</v>
      </c>
      <c r="T10" s="8">
        <v>0.95899999999999996</v>
      </c>
      <c r="U10" s="8">
        <f t="shared" si="5"/>
        <v>-3.9999999999999925E-2</v>
      </c>
      <c r="V10" s="21">
        <v>0.92500000000000004</v>
      </c>
      <c r="W10" s="8">
        <v>0.89700000000000002</v>
      </c>
      <c r="X10" s="8">
        <f t="shared" si="6"/>
        <v>2.8000000000000025E-2</v>
      </c>
      <c r="Y10" s="21">
        <v>0.92700000000000005</v>
      </c>
      <c r="Z10" s="8">
        <v>0.89600000000000002</v>
      </c>
      <c r="AA10" s="8">
        <f t="shared" si="7"/>
        <v>3.1000000000000028E-2</v>
      </c>
      <c r="AB10" s="21">
        <v>0.90300000000000002</v>
      </c>
      <c r="AC10" s="8">
        <v>0.89200000000000002</v>
      </c>
      <c r="AD10" s="8">
        <f t="shared" si="8"/>
        <v>1.100000000000001E-2</v>
      </c>
      <c r="AE10" s="21">
        <v>0.95699999999999996</v>
      </c>
      <c r="AF10" s="8">
        <v>0.96499999999999997</v>
      </c>
      <c r="AG10" s="8">
        <f t="shared" si="9"/>
        <v>-8.0000000000000071E-3</v>
      </c>
      <c r="AH10" s="16">
        <v>0.98299999999999998</v>
      </c>
      <c r="AI10" s="8">
        <v>1</v>
      </c>
      <c r="AJ10">
        <f t="shared" si="10"/>
        <v>-1.7000000000000015E-2</v>
      </c>
    </row>
    <row r="11" spans="2:36" ht="31" customHeight="1" x14ac:dyDescent="0.35">
      <c r="B11" s="3" t="s">
        <v>34</v>
      </c>
      <c r="C11" s="4">
        <v>0.873</v>
      </c>
      <c r="D11" s="20">
        <v>0.93200000000000005</v>
      </c>
      <c r="E11" s="4">
        <v>0.91600000000000004</v>
      </c>
      <c r="F11" s="4">
        <f t="shared" si="0"/>
        <v>1.6000000000000014E-2</v>
      </c>
      <c r="G11" s="20">
        <v>0.90600000000000003</v>
      </c>
      <c r="H11" s="4">
        <v>0.87</v>
      </c>
      <c r="I11" s="4">
        <f t="shared" si="1"/>
        <v>3.6000000000000032E-2</v>
      </c>
      <c r="J11" s="20">
        <v>0.88600000000000001</v>
      </c>
      <c r="K11" s="4">
        <v>0.82</v>
      </c>
      <c r="L11" s="5">
        <f t="shared" si="2"/>
        <v>6.6000000000000059E-2</v>
      </c>
      <c r="M11" s="22">
        <v>0.78099999999999992</v>
      </c>
      <c r="N11" s="4">
        <v>0.75099999999999989</v>
      </c>
      <c r="O11" s="4">
        <f t="shared" si="3"/>
        <v>3.0000000000000027E-2</v>
      </c>
      <c r="P11" s="20">
        <v>0.876</v>
      </c>
      <c r="Q11" s="4">
        <v>0.82432432432432434</v>
      </c>
      <c r="R11" s="5">
        <f t="shared" si="4"/>
        <v>5.1675675675675659E-2</v>
      </c>
      <c r="S11" s="20">
        <v>0.871</v>
      </c>
      <c r="T11" s="4">
        <v>0.877</v>
      </c>
      <c r="U11" s="4">
        <f t="shared" si="5"/>
        <v>-6.0000000000000053E-3</v>
      </c>
      <c r="V11" s="22">
        <v>0.78500000000000003</v>
      </c>
      <c r="W11" s="4">
        <v>0.86399999999999999</v>
      </c>
      <c r="X11" s="6">
        <f t="shared" si="6"/>
        <v>-7.8999999999999959E-2</v>
      </c>
      <c r="Y11" s="20">
        <v>0.86299999999999999</v>
      </c>
      <c r="Z11" s="4">
        <v>0.83899999999999997</v>
      </c>
      <c r="AA11" s="4">
        <f t="shared" si="7"/>
        <v>2.4000000000000021E-2</v>
      </c>
      <c r="AB11" s="20">
        <v>0.83099999999999996</v>
      </c>
      <c r="AC11" s="4">
        <v>0.76400000000000001</v>
      </c>
      <c r="AD11" s="5">
        <f t="shared" si="8"/>
        <v>6.6999999999999948E-2</v>
      </c>
      <c r="AE11" s="20">
        <v>0.86699999999999999</v>
      </c>
      <c r="AF11" s="4">
        <v>0.94199999999999995</v>
      </c>
      <c r="AG11" s="6">
        <f t="shared" si="9"/>
        <v>-7.4999999999999956E-2</v>
      </c>
      <c r="AH11" s="20">
        <v>0.95899999999999996</v>
      </c>
      <c r="AI11" s="4">
        <v>0.96699999999999997</v>
      </c>
      <c r="AJ11">
        <f t="shared" si="10"/>
        <v>-8.0000000000000071E-3</v>
      </c>
    </row>
    <row r="12" spans="2:36" ht="31" customHeight="1" x14ac:dyDescent="0.35">
      <c r="B12" s="7" t="s">
        <v>35</v>
      </c>
      <c r="C12" s="8">
        <v>0.97199999999999998</v>
      </c>
      <c r="D12" s="25">
        <v>1</v>
      </c>
      <c r="E12" s="8">
        <v>0.97799999999999998</v>
      </c>
      <c r="F12" s="8">
        <f t="shared" si="0"/>
        <v>2.200000000000002E-2</v>
      </c>
      <c r="G12" s="21">
        <v>0.96899999999999997</v>
      </c>
      <c r="H12" s="8">
        <v>1</v>
      </c>
      <c r="I12" s="8">
        <f t="shared" si="1"/>
        <v>-3.1000000000000028E-2</v>
      </c>
      <c r="J12" s="21">
        <v>0.95899999999999996</v>
      </c>
      <c r="K12" s="8">
        <v>0.94099999999999995</v>
      </c>
      <c r="L12" s="8">
        <f t="shared" si="2"/>
        <v>1.8000000000000016E-2</v>
      </c>
      <c r="M12" s="21">
        <v>0.95</v>
      </c>
      <c r="N12" s="8">
        <v>0.95499999999999996</v>
      </c>
      <c r="O12" s="8">
        <f t="shared" si="3"/>
        <v>-5.0000000000000044E-3</v>
      </c>
      <c r="P12" s="21">
        <v>0.97599999999999998</v>
      </c>
      <c r="Q12" s="8">
        <v>0.93506493506493504</v>
      </c>
      <c r="R12" s="8">
        <f t="shared" si="4"/>
        <v>4.0935064935064935E-2</v>
      </c>
      <c r="S12" s="21">
        <v>0.98599999999999999</v>
      </c>
      <c r="T12" s="8">
        <v>0.95899999999999996</v>
      </c>
      <c r="U12" s="8">
        <f t="shared" si="5"/>
        <v>2.7000000000000024E-2</v>
      </c>
      <c r="V12" s="26">
        <v>0.90300000000000002</v>
      </c>
      <c r="W12" s="8">
        <v>0.96599999999999997</v>
      </c>
      <c r="X12" s="6">
        <f t="shared" si="6"/>
        <v>-6.2999999999999945E-2</v>
      </c>
      <c r="Y12" s="21">
        <v>0.98399999999999999</v>
      </c>
      <c r="Z12" s="8">
        <v>0.98099999999999998</v>
      </c>
      <c r="AA12" s="8">
        <f t="shared" si="7"/>
        <v>3.0000000000000027E-3</v>
      </c>
      <c r="AB12" s="21">
        <v>0.97299999999999998</v>
      </c>
      <c r="AC12" s="8">
        <v>0.97799999999999998</v>
      </c>
      <c r="AD12" s="8">
        <f t="shared" si="8"/>
        <v>-5.0000000000000044E-3</v>
      </c>
      <c r="AE12" s="21">
        <v>0.97199999999999998</v>
      </c>
      <c r="AF12" s="8">
        <v>0.96499999999999997</v>
      </c>
      <c r="AG12" s="8">
        <f t="shared" si="9"/>
        <v>7.0000000000000062E-3</v>
      </c>
      <c r="AH12" s="21">
        <v>0.99099999999999999</v>
      </c>
      <c r="AI12" s="8">
        <v>0.99</v>
      </c>
      <c r="AJ12">
        <f t="shared" si="10"/>
        <v>1.0000000000000009E-3</v>
      </c>
    </row>
    <row r="13" spans="2:36" ht="31" customHeight="1" x14ac:dyDescent="0.35">
      <c r="B13" s="3" t="s">
        <v>36</v>
      </c>
      <c r="C13" s="4">
        <v>0.93200000000000005</v>
      </c>
      <c r="D13" s="20">
        <v>0.99199999999999999</v>
      </c>
      <c r="E13" s="4"/>
      <c r="F13" s="4"/>
      <c r="G13" s="20">
        <v>0.88500000000000001</v>
      </c>
      <c r="H13" s="4"/>
      <c r="I13" s="4"/>
      <c r="J13" s="20">
        <v>0.90500000000000003</v>
      </c>
      <c r="K13" s="4"/>
      <c r="L13" s="4"/>
      <c r="M13" s="20">
        <v>0.94</v>
      </c>
      <c r="N13" s="4"/>
      <c r="O13" s="4"/>
      <c r="P13" s="20">
        <v>0.92700000000000005</v>
      </c>
      <c r="Q13" s="4"/>
      <c r="R13" s="4"/>
      <c r="S13" s="20">
        <v>0.93100000000000005</v>
      </c>
      <c r="T13" s="4"/>
      <c r="U13" s="4"/>
      <c r="V13" s="20">
        <v>0.91700000000000004</v>
      </c>
      <c r="W13" s="4"/>
      <c r="X13" s="4"/>
      <c r="Y13" s="22">
        <v>0.8640000000000001</v>
      </c>
      <c r="Z13" s="4"/>
      <c r="AA13" s="4"/>
      <c r="AB13" s="20">
        <v>0.93100000000000005</v>
      </c>
      <c r="AC13" s="4"/>
      <c r="AD13" s="4"/>
      <c r="AE13" s="20">
        <v>0.92</v>
      </c>
      <c r="AF13" s="4"/>
      <c r="AG13" s="4"/>
      <c r="AH13" s="20">
        <v>0.96399999999999997</v>
      </c>
      <c r="AI13" s="4"/>
    </row>
    <row r="14" spans="2:36" ht="31" customHeight="1" x14ac:dyDescent="0.35">
      <c r="B14" s="7" t="s">
        <v>37</v>
      </c>
      <c r="C14" s="8">
        <v>0.91700000000000004</v>
      </c>
      <c r="D14" s="21">
        <v>0.96899999999999997</v>
      </c>
      <c r="E14" s="8">
        <v>0.92800000000000005</v>
      </c>
      <c r="F14" s="8">
        <f t="shared" ref="F14:F19" si="11">D14-E14</f>
        <v>4.0999999999999925E-2</v>
      </c>
      <c r="G14" s="21">
        <v>0.88100000000000001</v>
      </c>
      <c r="H14" s="8">
        <v>0.91200000000000003</v>
      </c>
      <c r="I14" s="8">
        <f t="shared" ref="I14:I19" si="12">G14-H14</f>
        <v>-3.1000000000000028E-2</v>
      </c>
      <c r="J14" s="21">
        <v>0.94599999999999995</v>
      </c>
      <c r="K14" s="8">
        <v>0.84599999999999997</v>
      </c>
      <c r="L14" s="5">
        <f t="shared" ref="L14:L19" si="13">J14-K14</f>
        <v>9.9999999999999978E-2</v>
      </c>
      <c r="M14" s="21">
        <v>0.89900000000000002</v>
      </c>
      <c r="N14" s="8">
        <v>0.88600000000000001</v>
      </c>
      <c r="O14" s="8">
        <f t="shared" ref="O14:O19" si="14">M14-N14</f>
        <v>1.3000000000000012E-2</v>
      </c>
      <c r="P14" s="21">
        <v>0.93799999999999994</v>
      </c>
      <c r="Q14" s="8">
        <v>0.8571428571428571</v>
      </c>
      <c r="R14" s="5">
        <f t="shared" ref="R14:R19" si="15">P14-Q14</f>
        <v>8.085714285714285E-2</v>
      </c>
      <c r="S14" s="21">
        <v>0.89500000000000002</v>
      </c>
      <c r="T14" s="8">
        <v>0.91400000000000003</v>
      </c>
      <c r="U14" s="8">
        <f t="shared" ref="U14:U19" si="16">S14-T14</f>
        <v>-1.9000000000000017E-2</v>
      </c>
      <c r="V14" s="21">
        <v>0.86</v>
      </c>
      <c r="W14" s="8">
        <v>0.91300000000000003</v>
      </c>
      <c r="X14" s="6">
        <f t="shared" ref="X14:X19" si="17">V14-W14</f>
        <v>-5.3000000000000047E-2</v>
      </c>
      <c r="Y14" s="21">
        <v>0.873</v>
      </c>
      <c r="Z14" s="8">
        <v>0.875</v>
      </c>
      <c r="AA14" s="8">
        <f t="shared" ref="AA14:AA19" si="18">Y14-Z14</f>
        <v>-2.0000000000000018E-3</v>
      </c>
      <c r="AB14" s="21">
        <v>0.89600000000000002</v>
      </c>
      <c r="AC14" s="8">
        <v>0.88300000000000001</v>
      </c>
      <c r="AD14" s="8">
        <f t="shared" ref="AD14:AD19" si="19">AB14-AC14</f>
        <v>1.3000000000000012E-2</v>
      </c>
      <c r="AE14" s="21">
        <v>0.91100000000000003</v>
      </c>
      <c r="AF14" s="8">
        <v>0.92800000000000005</v>
      </c>
      <c r="AG14" s="8">
        <f t="shared" ref="AG14:AG19" si="20">AE14-AF14</f>
        <v>-1.7000000000000015E-2</v>
      </c>
      <c r="AH14" s="21">
        <v>0.97</v>
      </c>
      <c r="AI14" s="8">
        <v>0.95799999999999996</v>
      </c>
      <c r="AJ14">
        <f t="shared" ref="AJ14:AJ19" si="21">AH14-AI14</f>
        <v>1.2000000000000011E-2</v>
      </c>
    </row>
    <row r="15" spans="2:36" ht="31" customHeight="1" x14ac:dyDescent="0.35">
      <c r="B15" s="3" t="s">
        <v>38</v>
      </c>
      <c r="C15" s="4">
        <v>0.91800000000000004</v>
      </c>
      <c r="D15" s="20">
        <v>0.95</v>
      </c>
      <c r="E15" s="4">
        <v>0.93899999999999995</v>
      </c>
      <c r="F15" s="4">
        <f t="shared" si="11"/>
        <v>1.100000000000001E-2</v>
      </c>
      <c r="G15" s="20">
        <v>0.93200000000000005</v>
      </c>
      <c r="H15" s="4">
        <v>0.90300000000000002</v>
      </c>
      <c r="I15" s="4">
        <f t="shared" si="12"/>
        <v>2.9000000000000026E-2</v>
      </c>
      <c r="J15" s="20">
        <v>0.89600000000000002</v>
      </c>
      <c r="K15" s="4">
        <v>0.89300000000000002</v>
      </c>
      <c r="L15" s="4">
        <f t="shared" si="13"/>
        <v>3.0000000000000027E-3</v>
      </c>
      <c r="M15" s="20">
        <v>0.94099999999999995</v>
      </c>
      <c r="N15" s="4">
        <v>0.90500000000000003</v>
      </c>
      <c r="O15" s="4">
        <f t="shared" si="14"/>
        <v>3.5999999999999921E-2</v>
      </c>
      <c r="P15" s="20">
        <v>0.92100000000000004</v>
      </c>
      <c r="Q15" s="4">
        <v>0.90140845070422526</v>
      </c>
      <c r="R15" s="4">
        <f t="shared" si="15"/>
        <v>1.9591549295774779E-2</v>
      </c>
      <c r="S15" s="20">
        <v>0.84799999999999998</v>
      </c>
      <c r="T15" s="4">
        <v>0.95599999999999996</v>
      </c>
      <c r="U15" s="6">
        <f t="shared" si="16"/>
        <v>-0.10799999999999998</v>
      </c>
      <c r="V15" s="20">
        <v>0.86499999999999999</v>
      </c>
      <c r="W15" s="4">
        <v>0.91100000000000003</v>
      </c>
      <c r="X15" s="4">
        <f t="shared" si="17"/>
        <v>-4.6000000000000041E-2</v>
      </c>
      <c r="Y15" s="20">
        <v>0.90600000000000003</v>
      </c>
      <c r="Z15" s="4">
        <v>0.91300000000000003</v>
      </c>
      <c r="AA15" s="4">
        <f t="shared" si="18"/>
        <v>-7.0000000000000062E-3</v>
      </c>
      <c r="AB15" s="20">
        <v>0.89200000000000002</v>
      </c>
      <c r="AC15" s="4">
        <v>0.85499999999999998</v>
      </c>
      <c r="AD15" s="4">
        <f t="shared" si="19"/>
        <v>3.7000000000000033E-2</v>
      </c>
      <c r="AE15" s="20">
        <v>0.88100000000000001</v>
      </c>
      <c r="AF15" s="4">
        <v>0.96399999999999997</v>
      </c>
      <c r="AG15" s="6">
        <f t="shared" si="20"/>
        <v>-8.2999999999999963E-2</v>
      </c>
      <c r="AH15" s="20">
        <v>1</v>
      </c>
      <c r="AI15" s="4">
        <v>0.95699999999999996</v>
      </c>
      <c r="AJ15">
        <f t="shared" si="21"/>
        <v>4.3000000000000038E-2</v>
      </c>
    </row>
    <row r="16" spans="2:36" ht="31" customHeight="1" x14ac:dyDescent="0.35">
      <c r="B16" s="7" t="s">
        <v>39</v>
      </c>
      <c r="C16" s="8">
        <v>0.94499999999999995</v>
      </c>
      <c r="D16" s="21">
        <v>0.96899999999999997</v>
      </c>
      <c r="E16" s="8">
        <v>0.97599999999999998</v>
      </c>
      <c r="F16" s="8">
        <f t="shared" si="11"/>
        <v>-7.0000000000000062E-3</v>
      </c>
      <c r="G16" s="21">
        <v>0.94199999999999995</v>
      </c>
      <c r="H16" s="8">
        <v>0.94499999999999995</v>
      </c>
      <c r="I16" s="8">
        <f t="shared" si="12"/>
        <v>-3.0000000000000027E-3</v>
      </c>
      <c r="J16" s="21">
        <v>0.97</v>
      </c>
      <c r="K16" s="8">
        <v>0.8590000000000001</v>
      </c>
      <c r="L16" s="5">
        <f t="shared" si="13"/>
        <v>0.11099999999999988</v>
      </c>
      <c r="M16" s="21">
        <v>0.90300000000000002</v>
      </c>
      <c r="N16" s="8">
        <v>0.89200000000000002</v>
      </c>
      <c r="O16" s="8">
        <f t="shared" si="14"/>
        <v>1.100000000000001E-2</v>
      </c>
      <c r="P16" s="21">
        <v>0.93899999999999995</v>
      </c>
      <c r="Q16" s="8">
        <v>0.90909090909090906</v>
      </c>
      <c r="R16" s="8">
        <f t="shared" si="15"/>
        <v>2.9909090909090885E-2</v>
      </c>
      <c r="S16" s="21">
        <v>0.97599999999999998</v>
      </c>
      <c r="T16" s="8">
        <v>0.93200000000000005</v>
      </c>
      <c r="U16" s="8">
        <f t="shared" si="16"/>
        <v>4.3999999999999928E-2</v>
      </c>
      <c r="V16" s="21">
        <v>0.90400000000000003</v>
      </c>
      <c r="W16" s="8">
        <v>0.90800000000000003</v>
      </c>
      <c r="X16" s="8">
        <f t="shared" si="17"/>
        <v>-4.0000000000000036E-3</v>
      </c>
      <c r="Y16" s="21">
        <v>0.90400000000000003</v>
      </c>
      <c r="Z16" s="8">
        <v>0.88600000000000001</v>
      </c>
      <c r="AA16" s="8">
        <f t="shared" si="18"/>
        <v>1.8000000000000016E-2</v>
      </c>
      <c r="AB16" s="21">
        <v>0.90100000000000002</v>
      </c>
      <c r="AC16" s="8">
        <v>0.94099999999999995</v>
      </c>
      <c r="AD16" s="8">
        <f t="shared" si="19"/>
        <v>-3.9999999999999925E-2</v>
      </c>
      <c r="AE16" s="21">
        <v>0.97099999999999997</v>
      </c>
      <c r="AF16" s="8">
        <v>0.97599999999999998</v>
      </c>
      <c r="AG16" s="8">
        <f t="shared" si="20"/>
        <v>-5.0000000000000044E-3</v>
      </c>
      <c r="AH16" s="21">
        <v>0.97399999999999998</v>
      </c>
      <c r="AI16" s="8">
        <v>1</v>
      </c>
      <c r="AJ16">
        <f t="shared" si="21"/>
        <v>-2.6000000000000023E-2</v>
      </c>
    </row>
    <row r="17" spans="2:36" ht="31" customHeight="1" x14ac:dyDescent="0.35">
      <c r="B17" s="3" t="s">
        <v>40</v>
      </c>
      <c r="C17" s="4">
        <v>0.96599999999999997</v>
      </c>
      <c r="D17" s="20">
        <v>0.98199999999999998</v>
      </c>
      <c r="E17" s="4">
        <v>0.98</v>
      </c>
      <c r="F17" s="4">
        <f t="shared" si="11"/>
        <v>2.0000000000000018E-3</v>
      </c>
      <c r="G17" s="24">
        <v>0.98799999999999999</v>
      </c>
      <c r="H17" s="4">
        <v>0.96</v>
      </c>
      <c r="I17" s="4">
        <f t="shared" si="12"/>
        <v>2.8000000000000025E-2</v>
      </c>
      <c r="J17" s="20">
        <v>0.96299999999999997</v>
      </c>
      <c r="K17" s="4">
        <v>0.96299999999999997</v>
      </c>
      <c r="L17" s="4">
        <f t="shared" si="13"/>
        <v>0</v>
      </c>
      <c r="M17" s="20">
        <v>0.96399999999999997</v>
      </c>
      <c r="N17" s="4">
        <v>0.95099999999999996</v>
      </c>
      <c r="O17" s="4">
        <f t="shared" si="14"/>
        <v>1.3000000000000012E-2</v>
      </c>
      <c r="P17" s="20">
        <v>0.96199999999999997</v>
      </c>
      <c r="Q17" s="4">
        <v>0.93333333333333335</v>
      </c>
      <c r="R17" s="4">
        <f t="shared" si="15"/>
        <v>2.8666666666666618E-2</v>
      </c>
      <c r="S17" s="20">
        <v>0.97799999999999998</v>
      </c>
      <c r="T17" s="4">
        <v>0.94399999999999995</v>
      </c>
      <c r="U17" s="4">
        <f t="shared" si="16"/>
        <v>3.400000000000003E-2</v>
      </c>
      <c r="V17" s="20">
        <v>0.95799999999999996</v>
      </c>
      <c r="W17" s="4">
        <v>0.95499999999999996</v>
      </c>
      <c r="X17" s="4">
        <f t="shared" si="17"/>
        <v>3.0000000000000027E-3</v>
      </c>
      <c r="Y17" s="20">
        <v>0.97199999999999998</v>
      </c>
      <c r="Z17" s="4">
        <v>0.97099999999999997</v>
      </c>
      <c r="AA17" s="4">
        <f t="shared" si="18"/>
        <v>1.0000000000000009E-3</v>
      </c>
      <c r="AB17" s="20">
        <v>0.93600000000000005</v>
      </c>
      <c r="AC17" s="4">
        <v>0.97299999999999998</v>
      </c>
      <c r="AD17" s="4">
        <f t="shared" si="19"/>
        <v>-3.6999999999999922E-2</v>
      </c>
      <c r="AE17" s="24">
        <v>0.99</v>
      </c>
      <c r="AF17" s="4">
        <v>0.97499999999999998</v>
      </c>
      <c r="AG17" s="4">
        <f t="shared" si="20"/>
        <v>1.5000000000000013E-2</v>
      </c>
      <c r="AH17" s="20">
        <v>1</v>
      </c>
      <c r="AI17" s="4">
        <v>0.98899999999999999</v>
      </c>
      <c r="AJ17">
        <f t="shared" si="21"/>
        <v>1.100000000000001E-2</v>
      </c>
    </row>
    <row r="18" spans="2:36" ht="31" customHeight="1" x14ac:dyDescent="0.35">
      <c r="B18" s="7" t="s">
        <v>41</v>
      </c>
      <c r="C18" s="8">
        <v>0.91600000000000004</v>
      </c>
      <c r="D18" s="21">
        <v>0.93400000000000005</v>
      </c>
      <c r="E18" s="8">
        <v>0.86899999999999999</v>
      </c>
      <c r="F18" s="5">
        <f t="shared" si="11"/>
        <v>6.5000000000000058E-2</v>
      </c>
      <c r="G18" s="21">
        <v>0.97</v>
      </c>
      <c r="H18" s="8">
        <v>0.95399999999999996</v>
      </c>
      <c r="I18" s="8">
        <f t="shared" si="12"/>
        <v>1.6000000000000014E-2</v>
      </c>
      <c r="J18" s="21">
        <v>0.91800000000000004</v>
      </c>
      <c r="K18" s="8">
        <v>0.93700000000000006</v>
      </c>
      <c r="L18" s="8">
        <f t="shared" si="13"/>
        <v>-1.9000000000000017E-2</v>
      </c>
      <c r="M18" s="21">
        <v>0.93600000000000005</v>
      </c>
      <c r="N18" s="8">
        <v>0.85199999999999998</v>
      </c>
      <c r="O18" s="5">
        <f t="shared" si="14"/>
        <v>8.4000000000000075E-2</v>
      </c>
      <c r="P18" s="21">
        <v>0.95599999999999996</v>
      </c>
      <c r="Q18" s="8">
        <v>0.88732394366197187</v>
      </c>
      <c r="R18" s="5">
        <f t="shared" si="15"/>
        <v>6.8676056338028091E-2</v>
      </c>
      <c r="S18" s="21">
        <v>0.92100000000000004</v>
      </c>
      <c r="T18" s="8">
        <v>0.91700000000000004</v>
      </c>
      <c r="U18" s="8">
        <f t="shared" si="16"/>
        <v>4.0000000000000036E-3</v>
      </c>
      <c r="V18" s="21">
        <v>0.91300000000000003</v>
      </c>
      <c r="W18" s="8">
        <v>0.90600000000000003</v>
      </c>
      <c r="X18" s="8">
        <f t="shared" si="17"/>
        <v>7.0000000000000062E-3</v>
      </c>
      <c r="Y18" s="21">
        <v>0.95099999999999996</v>
      </c>
      <c r="Z18" s="8">
        <v>0.86099999999999999</v>
      </c>
      <c r="AA18" s="5">
        <f t="shared" si="18"/>
        <v>8.9999999999999969E-2</v>
      </c>
      <c r="AB18" s="21">
        <v>0.92400000000000004</v>
      </c>
      <c r="AC18" s="8">
        <v>0.86499999999999999</v>
      </c>
      <c r="AD18" s="5">
        <f t="shared" si="19"/>
        <v>5.9000000000000052E-2</v>
      </c>
      <c r="AE18" s="21">
        <v>0.84699999999999998</v>
      </c>
      <c r="AF18" s="8">
        <v>0.91400000000000003</v>
      </c>
      <c r="AG18" s="6">
        <f t="shared" si="20"/>
        <v>-6.700000000000006E-2</v>
      </c>
      <c r="AH18" s="21">
        <v>0.97799999999999998</v>
      </c>
      <c r="AI18" s="8">
        <v>0.94699999999999995</v>
      </c>
      <c r="AJ18">
        <f t="shared" si="21"/>
        <v>3.1000000000000028E-2</v>
      </c>
    </row>
    <row r="19" spans="2:36" ht="31" customHeight="1" x14ac:dyDescent="0.35">
      <c r="B19" s="3" t="s">
        <v>42</v>
      </c>
      <c r="C19" s="4">
        <v>0.77200000000000002</v>
      </c>
      <c r="D19" s="27">
        <v>0.89</v>
      </c>
      <c r="E19" s="4">
        <v>0.77</v>
      </c>
      <c r="F19" s="5">
        <f t="shared" si="11"/>
        <v>0.12</v>
      </c>
      <c r="G19" s="20">
        <v>0.76</v>
      </c>
      <c r="H19" s="4">
        <v>0.79100000000000004</v>
      </c>
      <c r="I19" s="4">
        <f t="shared" si="12"/>
        <v>-3.1000000000000028E-2</v>
      </c>
      <c r="J19" s="20">
        <v>0.72399999999999998</v>
      </c>
      <c r="K19" s="4">
        <v>0.70799999999999996</v>
      </c>
      <c r="L19" s="4">
        <f t="shared" si="13"/>
        <v>1.6000000000000014E-2</v>
      </c>
      <c r="M19" s="20">
        <v>0.71599999999999997</v>
      </c>
      <c r="N19" s="4">
        <v>0.47799999999999998</v>
      </c>
      <c r="O19" s="5">
        <f t="shared" si="14"/>
        <v>0.23799999999999999</v>
      </c>
      <c r="P19" s="20">
        <v>0.77300000000000002</v>
      </c>
      <c r="Q19" s="4">
        <v>0.76119402985074625</v>
      </c>
      <c r="R19" s="4">
        <f t="shared" si="15"/>
        <v>1.1805970149253775E-2</v>
      </c>
      <c r="S19" s="20">
        <v>0.73899999999999999</v>
      </c>
      <c r="T19" s="4">
        <v>0.84799999999999998</v>
      </c>
      <c r="U19" s="6">
        <f t="shared" si="16"/>
        <v>-0.10899999999999999</v>
      </c>
      <c r="V19" s="20">
        <v>0.67600000000000005</v>
      </c>
      <c r="W19" s="4">
        <v>0.73599999999999999</v>
      </c>
      <c r="X19" s="6">
        <f t="shared" si="17"/>
        <v>-5.9999999999999942E-2</v>
      </c>
      <c r="Y19" s="20">
        <v>0.70099999999999996</v>
      </c>
      <c r="Z19" s="4">
        <v>0.78400000000000003</v>
      </c>
      <c r="AA19" s="6">
        <f t="shared" si="18"/>
        <v>-8.3000000000000074E-2</v>
      </c>
      <c r="AB19" s="20">
        <v>0.79500000000000004</v>
      </c>
      <c r="AC19" s="4">
        <v>0.7</v>
      </c>
      <c r="AD19" s="5">
        <f t="shared" si="19"/>
        <v>9.5000000000000084E-2</v>
      </c>
      <c r="AE19" s="20">
        <v>0.71199999999999997</v>
      </c>
      <c r="AF19" s="4">
        <v>0.73199999999999998</v>
      </c>
      <c r="AG19" s="4">
        <f t="shared" si="20"/>
        <v>-2.0000000000000018E-2</v>
      </c>
      <c r="AH19" s="20">
        <v>0.85899999999999999</v>
      </c>
      <c r="AI19" s="4">
        <v>0.82799999999999996</v>
      </c>
      <c r="AJ19">
        <f t="shared" si="21"/>
        <v>3.1000000000000028E-2</v>
      </c>
    </row>
    <row r="20" spans="2:36" ht="31" customHeight="1" x14ac:dyDescent="0.35">
      <c r="B20" s="7" t="s">
        <v>43</v>
      </c>
      <c r="C20" s="8">
        <v>0.79300000000000004</v>
      </c>
      <c r="D20" s="21">
        <v>0.83299999999999996</v>
      </c>
      <c r="E20" s="8"/>
      <c r="F20" s="8"/>
      <c r="G20" s="21">
        <v>0.80500000000000005</v>
      </c>
      <c r="H20" s="8"/>
      <c r="I20" s="8"/>
      <c r="J20" s="21">
        <v>0.67800000000000005</v>
      </c>
      <c r="K20" s="8"/>
      <c r="L20" s="8"/>
      <c r="M20" s="21">
        <v>0.78500000000000003</v>
      </c>
      <c r="N20" s="8"/>
      <c r="O20" s="8"/>
      <c r="P20" s="21">
        <v>0.74399999999999999</v>
      </c>
      <c r="Q20" s="8"/>
      <c r="R20" s="8"/>
      <c r="S20" s="21">
        <v>0.752</v>
      </c>
      <c r="T20" s="8"/>
      <c r="U20" s="8"/>
      <c r="V20" s="26">
        <v>0.63800000000000001</v>
      </c>
      <c r="W20" s="8"/>
      <c r="X20" s="8"/>
      <c r="Y20" s="21">
        <v>0.80800000000000005</v>
      </c>
      <c r="Z20" s="8"/>
      <c r="AA20" s="8"/>
      <c r="AB20" s="21">
        <v>0.83</v>
      </c>
      <c r="AC20" s="8"/>
      <c r="AD20" s="8"/>
      <c r="AE20" s="21">
        <v>0.77400000000000002</v>
      </c>
      <c r="AF20" s="8"/>
      <c r="AG20" s="8"/>
      <c r="AH20" s="21">
        <v>0.90900000000000003</v>
      </c>
      <c r="AI20" s="8"/>
    </row>
    <row r="21" spans="2:36" ht="31" customHeight="1" x14ac:dyDescent="0.35">
      <c r="B21" s="3" t="s">
        <v>44</v>
      </c>
      <c r="C21" s="4">
        <v>0.93899999999999995</v>
      </c>
      <c r="D21" s="20">
        <v>0.98399999999999999</v>
      </c>
      <c r="E21" s="4">
        <v>0.96099999999999997</v>
      </c>
      <c r="F21" s="4">
        <f>D21-E21</f>
        <v>2.300000000000002E-2</v>
      </c>
      <c r="G21" s="20">
        <v>0.94899999999999995</v>
      </c>
      <c r="H21" s="4">
        <v>0.91500000000000004</v>
      </c>
      <c r="I21" s="4">
        <f>G21-H21</f>
        <v>3.3999999999999919E-2</v>
      </c>
      <c r="J21" s="20">
        <v>0.94899999999999995</v>
      </c>
      <c r="K21" s="4">
        <v>0.89300000000000002</v>
      </c>
      <c r="L21" s="5">
        <f>J21-K21</f>
        <v>5.5999999999999939E-2</v>
      </c>
      <c r="M21" s="20">
        <v>0.93600000000000005</v>
      </c>
      <c r="N21" s="4">
        <v>0.94199999999999995</v>
      </c>
      <c r="O21" s="4">
        <f>M21-N21</f>
        <v>-5.9999999999998943E-3</v>
      </c>
      <c r="P21" s="20">
        <v>0.94799999999999995</v>
      </c>
      <c r="Q21" s="4">
        <v>0.92105263157894735</v>
      </c>
      <c r="R21" s="4">
        <f>P21-Q21</f>
        <v>2.6947368421052609E-2</v>
      </c>
      <c r="S21" s="20">
        <v>0.89100000000000001</v>
      </c>
      <c r="T21" s="4">
        <v>0.94199999999999995</v>
      </c>
      <c r="U21" s="6">
        <f>S21-T21</f>
        <v>-5.0999999999999934E-2</v>
      </c>
      <c r="V21" s="20">
        <v>0.94799999999999995</v>
      </c>
      <c r="W21" s="4">
        <v>0.93200000000000005</v>
      </c>
      <c r="X21" s="4">
        <f>V21-W21</f>
        <v>1.5999999999999903E-2</v>
      </c>
      <c r="Y21" s="20">
        <v>0.90700000000000003</v>
      </c>
      <c r="Z21" s="4">
        <v>0.95199999999999996</v>
      </c>
      <c r="AA21" s="4">
        <f>Y21-Z21</f>
        <v>-4.4999999999999929E-2</v>
      </c>
      <c r="AB21" s="20">
        <v>0.95799999999999996</v>
      </c>
      <c r="AC21" s="4">
        <v>0.95</v>
      </c>
      <c r="AD21" s="4">
        <f>AB21-AC21</f>
        <v>8.0000000000000071E-3</v>
      </c>
      <c r="AE21" s="20">
        <v>0.93100000000000005</v>
      </c>
      <c r="AF21" s="4">
        <v>0.95299999999999996</v>
      </c>
      <c r="AG21" s="4">
        <f>AE21-AF21</f>
        <v>-2.1999999999999909E-2</v>
      </c>
      <c r="AH21" s="20">
        <v>0.98299999999999998</v>
      </c>
      <c r="AI21" s="4">
        <v>0.97799999999999998</v>
      </c>
      <c r="AJ21">
        <f>AH21-AI21</f>
        <v>5.0000000000000044E-3</v>
      </c>
    </row>
    <row r="22" spans="2:36" ht="31" customHeight="1" x14ac:dyDescent="0.35">
      <c r="B22" s="7" t="s">
        <v>45</v>
      </c>
      <c r="C22" s="8">
        <v>0.82799999999999996</v>
      </c>
      <c r="D22" s="21">
        <v>0.89300000000000002</v>
      </c>
      <c r="E22" s="8">
        <v>0.879</v>
      </c>
      <c r="F22" s="8">
        <f>D22-E22</f>
        <v>1.4000000000000012E-2</v>
      </c>
      <c r="G22" s="21">
        <v>0.79100000000000004</v>
      </c>
      <c r="H22" s="8">
        <v>0.80700000000000005</v>
      </c>
      <c r="I22" s="8">
        <f>G22-H22</f>
        <v>-1.6000000000000014E-2</v>
      </c>
      <c r="J22" s="21">
        <v>0.747</v>
      </c>
      <c r="K22" s="8">
        <v>0.76900000000000002</v>
      </c>
      <c r="L22" s="8">
        <f>J22-K22</f>
        <v>-2.200000000000002E-2</v>
      </c>
      <c r="M22" s="21">
        <v>0.81699999999999995</v>
      </c>
      <c r="N22" s="8">
        <v>0.629</v>
      </c>
      <c r="O22" s="5">
        <f>M22-N22</f>
        <v>0.18799999999999994</v>
      </c>
      <c r="P22" s="21">
        <v>0.76300000000000001</v>
      </c>
      <c r="Q22" s="8">
        <v>0.72727272727272729</v>
      </c>
      <c r="R22" s="8">
        <f>P22-Q22</f>
        <v>3.5727272727272719E-2</v>
      </c>
      <c r="S22" s="21">
        <v>0.80400000000000005</v>
      </c>
      <c r="T22" s="8">
        <v>0.84</v>
      </c>
      <c r="U22" s="8">
        <f>S22-T22</f>
        <v>-3.5999999999999921E-2</v>
      </c>
      <c r="V22" s="21">
        <v>0.73799999999999999</v>
      </c>
      <c r="W22" s="8">
        <v>0.83499999999999996</v>
      </c>
      <c r="X22" s="6">
        <f>V22-W22</f>
        <v>-9.6999999999999975E-2</v>
      </c>
      <c r="Y22" s="21">
        <v>0.77500000000000002</v>
      </c>
      <c r="Z22" s="8">
        <v>0.77900000000000003</v>
      </c>
      <c r="AA22" s="8">
        <f>Y22-Z22</f>
        <v>-4.0000000000000036E-3</v>
      </c>
      <c r="AB22" s="21">
        <v>0.751</v>
      </c>
      <c r="AC22" s="8">
        <v>0.70699999999999996</v>
      </c>
      <c r="AD22" s="8">
        <f>AB22-AC22</f>
        <v>4.4000000000000039E-2</v>
      </c>
      <c r="AE22" s="21">
        <v>0.80200000000000005</v>
      </c>
      <c r="AF22" s="8">
        <v>0.83299999999999996</v>
      </c>
      <c r="AG22" s="8">
        <f>AE22-AF22</f>
        <v>-3.0999999999999917E-2</v>
      </c>
      <c r="AH22" s="21">
        <v>0.92800000000000005</v>
      </c>
      <c r="AI22" s="8">
        <v>0.85</v>
      </c>
      <c r="AJ22" s="10">
        <f>AH22-AI22</f>
        <v>7.8000000000000069E-2</v>
      </c>
    </row>
    <row r="23" spans="2:36" ht="31" customHeight="1" x14ac:dyDescent="0.35">
      <c r="B23" s="3" t="s">
        <v>46</v>
      </c>
      <c r="C23" s="11">
        <v>8.01</v>
      </c>
      <c r="D23" s="28">
        <v>8.56</v>
      </c>
      <c r="E23" s="11">
        <v>8.33</v>
      </c>
      <c r="F23" s="11">
        <f>D23-E23</f>
        <v>0.23000000000000043</v>
      </c>
      <c r="G23" s="28">
        <v>7.71</v>
      </c>
      <c r="H23" s="11">
        <v>7.88</v>
      </c>
      <c r="I23" s="11">
        <f>G23-H23</f>
        <v>-0.16999999999999993</v>
      </c>
      <c r="J23" s="28">
        <v>7.66</v>
      </c>
      <c r="K23" s="11">
        <v>7.4</v>
      </c>
      <c r="L23" s="11">
        <f>J23-K23</f>
        <v>0.25999999999999979</v>
      </c>
      <c r="M23" s="28">
        <v>7.91</v>
      </c>
      <c r="N23" s="11">
        <v>7.66</v>
      </c>
      <c r="O23" s="11">
        <f>M23-N23</f>
        <v>0.25</v>
      </c>
      <c r="P23" s="28">
        <v>7.73</v>
      </c>
      <c r="Q23" s="11">
        <v>7.7532467532467528</v>
      </c>
      <c r="R23" s="11">
        <f>P23-Q23</f>
        <v>-2.3246753246752405E-2</v>
      </c>
      <c r="S23" s="28">
        <v>7.98</v>
      </c>
      <c r="T23" s="11">
        <v>8.08</v>
      </c>
      <c r="U23" s="11">
        <f>S23-T23</f>
        <v>-9.9999999999999645E-2</v>
      </c>
      <c r="V23" s="28">
        <v>7.41</v>
      </c>
      <c r="W23" s="11">
        <v>7.84</v>
      </c>
      <c r="X23" s="11">
        <f>V23-W23</f>
        <v>-0.42999999999999972</v>
      </c>
      <c r="Y23" s="28">
        <v>7.8</v>
      </c>
      <c r="Z23" s="11">
        <v>8.0299999999999994</v>
      </c>
      <c r="AA23" s="11">
        <f>Y23-Z23</f>
        <v>-0.22999999999999954</v>
      </c>
      <c r="AB23" s="28">
        <v>7.46</v>
      </c>
      <c r="AC23" s="11">
        <v>7.21</v>
      </c>
      <c r="AD23" s="11">
        <f>AB23-AC23</f>
        <v>0.25</v>
      </c>
      <c r="AE23" s="28">
        <v>8.1199999999999992</v>
      </c>
      <c r="AF23" s="11">
        <v>8.07</v>
      </c>
      <c r="AG23" s="11">
        <f>AE23-AF23</f>
        <v>4.9999999999998934E-2</v>
      </c>
      <c r="AH23" s="28">
        <v>8.65</v>
      </c>
      <c r="AI23" s="11">
        <v>8.6300000000000008</v>
      </c>
      <c r="AJ23">
        <f>AH23-AI23</f>
        <v>1.9999999999999574E-2</v>
      </c>
    </row>
    <row r="24" spans="2:36" ht="31" customHeight="1" x14ac:dyDescent="0.35">
      <c r="B24" s="7" t="s">
        <v>47</v>
      </c>
      <c r="C24" s="8">
        <v>0.86399999999999999</v>
      </c>
      <c r="D24" s="21">
        <v>0.95</v>
      </c>
      <c r="E24" s="8">
        <v>0.91500000000000004</v>
      </c>
      <c r="F24" s="5">
        <f>D24-E24</f>
        <v>3.499999999999992E-2</v>
      </c>
      <c r="G24" s="21">
        <v>0.88500000000000001</v>
      </c>
      <c r="H24" s="8">
        <v>0.88600000000000001</v>
      </c>
      <c r="I24" s="8">
        <f>G24-H24</f>
        <v>-1.0000000000000009E-3</v>
      </c>
      <c r="J24" s="21">
        <v>0.83799999999999997</v>
      </c>
      <c r="K24" s="8">
        <v>0.84499999999999997</v>
      </c>
      <c r="L24" s="6">
        <f>J24-K24</f>
        <v>-7.0000000000000062E-3</v>
      </c>
      <c r="M24" s="21">
        <v>0.81100000000000005</v>
      </c>
      <c r="N24" s="8">
        <v>0.82199999999999995</v>
      </c>
      <c r="O24" s="6">
        <f>M24-N24</f>
        <v>-1.0999999999999899E-2</v>
      </c>
      <c r="P24" s="21">
        <v>0.89200000000000002</v>
      </c>
      <c r="Q24" s="8">
        <v>0.78666666666666663</v>
      </c>
      <c r="R24" s="5">
        <f>P24-Q24</f>
        <v>0.10533333333333339</v>
      </c>
      <c r="S24" s="21">
        <v>0.85699999999999998</v>
      </c>
      <c r="T24" s="8">
        <v>0.84799999999999998</v>
      </c>
      <c r="U24" s="5">
        <f>S24-T24</f>
        <v>9.000000000000008E-3</v>
      </c>
      <c r="V24" s="21">
        <v>0.80200000000000005</v>
      </c>
      <c r="W24" s="8">
        <v>0.79500000000000004</v>
      </c>
      <c r="X24" s="5">
        <f>V24-W24</f>
        <v>7.0000000000000062E-3</v>
      </c>
      <c r="Y24" s="21">
        <v>0.85299999999999998</v>
      </c>
      <c r="Z24" s="8">
        <v>0.84399999999999997</v>
      </c>
      <c r="AA24" s="5">
        <f>Y24-Z24</f>
        <v>9.000000000000008E-3</v>
      </c>
      <c r="AB24" s="21">
        <v>0.84699999999999998</v>
      </c>
      <c r="AC24" s="8">
        <v>0.81399999999999995</v>
      </c>
      <c r="AD24" s="5">
        <f>AB24-AC24</f>
        <v>3.3000000000000029E-2</v>
      </c>
      <c r="AE24" s="21">
        <v>0.89900000000000002</v>
      </c>
      <c r="AF24" s="8">
        <v>0.85099999999999998</v>
      </c>
      <c r="AG24" s="5">
        <f>AE24-AF24</f>
        <v>4.8000000000000043E-2</v>
      </c>
      <c r="AH24" s="21">
        <v>0.94499999999999995</v>
      </c>
      <c r="AI24" s="8">
        <v>0.91</v>
      </c>
      <c r="AJ24" s="10">
        <f>AH24-AI24</f>
        <v>3.499999999999992E-2</v>
      </c>
    </row>
    <row r="25" spans="2:36" ht="31" customHeight="1" x14ac:dyDescent="0.35">
      <c r="B25" s="3"/>
      <c r="C25" s="4"/>
      <c r="D25" s="15"/>
      <c r="E25" s="4"/>
      <c r="F25" s="4"/>
      <c r="G25" s="15"/>
      <c r="H25" s="4"/>
      <c r="I25" s="4"/>
      <c r="J25" s="15"/>
      <c r="K25" s="4"/>
      <c r="L25" s="4"/>
      <c r="M25" s="15"/>
      <c r="N25" s="4"/>
      <c r="O25" s="4"/>
      <c r="P25" s="15"/>
      <c r="Q25" s="4"/>
      <c r="R25" s="4"/>
      <c r="S25" s="15"/>
      <c r="T25" s="4"/>
      <c r="U25" s="4"/>
      <c r="V25" s="15"/>
      <c r="W25" s="4"/>
      <c r="X25" s="4"/>
      <c r="Y25" s="15"/>
      <c r="Z25" s="4"/>
      <c r="AA25" s="4"/>
      <c r="AB25" s="15"/>
      <c r="AC25" s="4"/>
      <c r="AD25" s="4"/>
      <c r="AE25" s="15"/>
      <c r="AF25" s="4"/>
      <c r="AG25" s="4"/>
      <c r="AH25" s="15"/>
      <c r="AI25" s="4"/>
    </row>
  </sheetData>
  <autoFilter ref="B4:AI25" xr:uid="{00000000-0009-0000-0000-000000000000}"/>
  <mergeCells count="2">
    <mergeCell ref="B2:AI2"/>
    <mergeCell ref="B1:AI1"/>
  </mergeCells>
  <conditionalFormatting sqref="C5:C23">
    <cfRule type="iconSet" priority="1">
      <iconSet>
        <cfvo type="num" val="0"/>
        <cfvo type="num" val="0.75"/>
        <cfvo type="num" val="0.9"/>
      </iconSet>
    </cfRule>
  </conditionalFormatting>
  <conditionalFormatting sqref="C24">
    <cfRule type="iconSet" priority="37">
      <iconSet reverse="1">
        <cfvo type="num" val="0"/>
        <cfvo type="num" val="7.5"/>
        <cfvo type="num" val="9"/>
      </iconSet>
    </cfRule>
  </conditionalFormatting>
  <conditionalFormatting sqref="C25">
    <cfRule type="iconSet" priority="38">
      <iconSet reverse="1">
        <cfvo type="num" val="0"/>
        <cfvo type="num" val="0.75"/>
        <cfvo type="num" val="0.9"/>
      </iconSet>
    </cfRule>
  </conditionalFormatting>
  <conditionalFormatting sqref="D5:D23">
    <cfRule type="iconSet" priority="4">
      <iconSet>
        <cfvo type="num" val="0"/>
        <cfvo type="num" val="0.75"/>
        <cfvo type="num" val="0.9"/>
      </iconSet>
    </cfRule>
  </conditionalFormatting>
  <conditionalFormatting sqref="D24">
    <cfRule type="iconSet" priority="39">
      <iconSet reverse="1">
        <cfvo type="num" val="0"/>
        <cfvo type="num" val="7.5"/>
        <cfvo type="num" val="9"/>
      </iconSet>
    </cfRule>
  </conditionalFormatting>
  <conditionalFormatting sqref="D25">
    <cfRule type="iconSet" priority="40">
      <iconSet reverse="1">
        <cfvo type="num" val="0"/>
        <cfvo type="num" val="0.75"/>
        <cfvo type="num" val="0.9"/>
      </iconSet>
    </cfRule>
  </conditionalFormatting>
  <conditionalFormatting sqref="G5:G23">
    <cfRule type="iconSet" priority="7">
      <iconSet>
        <cfvo type="num" val="0"/>
        <cfvo type="num" val="0.75"/>
        <cfvo type="num" val="0.9"/>
      </iconSet>
    </cfRule>
  </conditionalFormatting>
  <conditionalFormatting sqref="G24">
    <cfRule type="iconSet" priority="41">
      <iconSet reverse="1">
        <cfvo type="num" val="0"/>
        <cfvo type="num" val="7.5"/>
        <cfvo type="num" val="9"/>
      </iconSet>
    </cfRule>
  </conditionalFormatting>
  <conditionalFormatting sqref="G25">
    <cfRule type="iconSet" priority="42">
      <iconSet reverse="1">
        <cfvo type="num" val="0"/>
        <cfvo type="num" val="0.75"/>
        <cfvo type="num" val="0.9"/>
      </iconSet>
    </cfRule>
  </conditionalFormatting>
  <conditionalFormatting sqref="J5:J23">
    <cfRule type="iconSet" priority="10">
      <iconSet>
        <cfvo type="num" val="0"/>
        <cfvo type="num" val="0.75"/>
        <cfvo type="num" val="0.9"/>
      </iconSet>
    </cfRule>
  </conditionalFormatting>
  <conditionalFormatting sqref="J24">
    <cfRule type="iconSet" priority="43">
      <iconSet reverse="1">
        <cfvo type="num" val="0"/>
        <cfvo type="num" val="7.5"/>
        <cfvo type="num" val="9"/>
      </iconSet>
    </cfRule>
  </conditionalFormatting>
  <conditionalFormatting sqref="J25">
    <cfRule type="iconSet" priority="44">
      <iconSet reverse="1">
        <cfvo type="num" val="0"/>
        <cfvo type="num" val="0.75"/>
        <cfvo type="num" val="0.9"/>
      </iconSet>
    </cfRule>
  </conditionalFormatting>
  <conditionalFormatting sqref="M5:M23">
    <cfRule type="iconSet" priority="13">
      <iconSet>
        <cfvo type="num" val="0"/>
        <cfvo type="num" val="0.75"/>
        <cfvo type="num" val="0.9"/>
      </iconSet>
    </cfRule>
  </conditionalFormatting>
  <conditionalFormatting sqref="M24">
    <cfRule type="iconSet" priority="45">
      <iconSet reverse="1">
        <cfvo type="num" val="0"/>
        <cfvo type="num" val="7.5"/>
        <cfvo type="num" val="9"/>
      </iconSet>
    </cfRule>
  </conditionalFormatting>
  <conditionalFormatting sqref="M25">
    <cfRule type="iconSet" priority="46">
      <iconSet reverse="1">
        <cfvo type="num" val="0"/>
        <cfvo type="num" val="0.75"/>
        <cfvo type="num" val="0.9"/>
      </iconSet>
    </cfRule>
  </conditionalFormatting>
  <conditionalFormatting sqref="P5:P23">
    <cfRule type="iconSet" priority="16">
      <iconSet>
        <cfvo type="num" val="0"/>
        <cfvo type="num" val="0.75"/>
        <cfvo type="num" val="0.9"/>
      </iconSet>
    </cfRule>
  </conditionalFormatting>
  <conditionalFormatting sqref="P24">
    <cfRule type="iconSet" priority="47">
      <iconSet reverse="1">
        <cfvo type="num" val="0"/>
        <cfvo type="num" val="7.5"/>
        <cfvo type="num" val="9"/>
      </iconSet>
    </cfRule>
  </conditionalFormatting>
  <conditionalFormatting sqref="P25">
    <cfRule type="iconSet" priority="48">
      <iconSet reverse="1">
        <cfvo type="num" val="0"/>
        <cfvo type="num" val="0.75"/>
        <cfvo type="num" val="0.9"/>
      </iconSet>
    </cfRule>
  </conditionalFormatting>
  <conditionalFormatting sqref="S5:S23">
    <cfRule type="iconSet" priority="19">
      <iconSet>
        <cfvo type="num" val="0"/>
        <cfvo type="num" val="0.75"/>
        <cfvo type="num" val="0.9"/>
      </iconSet>
    </cfRule>
  </conditionalFormatting>
  <conditionalFormatting sqref="S24">
    <cfRule type="iconSet" priority="49">
      <iconSet reverse="1">
        <cfvo type="num" val="0"/>
        <cfvo type="num" val="7.5"/>
        <cfvo type="num" val="9"/>
      </iconSet>
    </cfRule>
  </conditionalFormatting>
  <conditionalFormatting sqref="S25">
    <cfRule type="iconSet" priority="50">
      <iconSet reverse="1">
        <cfvo type="num" val="0"/>
        <cfvo type="num" val="0.75"/>
        <cfvo type="num" val="0.9"/>
      </iconSet>
    </cfRule>
  </conditionalFormatting>
  <conditionalFormatting sqref="V5:V23">
    <cfRule type="iconSet" priority="22">
      <iconSet>
        <cfvo type="num" val="0"/>
        <cfvo type="num" val="0.75"/>
        <cfvo type="num" val="0.9"/>
      </iconSet>
    </cfRule>
  </conditionalFormatting>
  <conditionalFormatting sqref="V24">
    <cfRule type="iconSet" priority="51">
      <iconSet reverse="1">
        <cfvo type="num" val="0"/>
        <cfvo type="num" val="7.5"/>
        <cfvo type="num" val="9"/>
      </iconSet>
    </cfRule>
  </conditionalFormatting>
  <conditionalFormatting sqref="V25">
    <cfRule type="iconSet" priority="52">
      <iconSet reverse="1">
        <cfvo type="num" val="0"/>
        <cfvo type="num" val="0.75"/>
        <cfvo type="num" val="0.9"/>
      </iconSet>
    </cfRule>
  </conditionalFormatting>
  <conditionalFormatting sqref="Y5:Y23">
    <cfRule type="iconSet" priority="25">
      <iconSet>
        <cfvo type="num" val="0"/>
        <cfvo type="num" val="0.75"/>
        <cfvo type="num" val="0.9"/>
      </iconSet>
    </cfRule>
  </conditionalFormatting>
  <conditionalFormatting sqref="Y24">
    <cfRule type="iconSet" priority="53">
      <iconSet reverse="1">
        <cfvo type="num" val="0"/>
        <cfvo type="num" val="7.5"/>
        <cfvo type="num" val="9"/>
      </iconSet>
    </cfRule>
  </conditionalFormatting>
  <conditionalFormatting sqref="Y25">
    <cfRule type="iconSet" priority="54">
      <iconSet reverse="1">
        <cfvo type="num" val="0"/>
        <cfvo type="num" val="0.75"/>
        <cfvo type="num" val="0.9"/>
      </iconSet>
    </cfRule>
  </conditionalFormatting>
  <conditionalFormatting sqref="AB5:AB23">
    <cfRule type="iconSet" priority="28">
      <iconSet>
        <cfvo type="num" val="0"/>
        <cfvo type="num" val="0.75"/>
        <cfvo type="num" val="0.9"/>
      </iconSet>
    </cfRule>
  </conditionalFormatting>
  <conditionalFormatting sqref="AB24">
    <cfRule type="iconSet" priority="55">
      <iconSet reverse="1">
        <cfvo type="num" val="0"/>
        <cfvo type="num" val="7.5"/>
        <cfvo type="num" val="9"/>
      </iconSet>
    </cfRule>
  </conditionalFormatting>
  <conditionalFormatting sqref="AB25">
    <cfRule type="iconSet" priority="56">
      <iconSet reverse="1">
        <cfvo type="num" val="0"/>
        <cfvo type="num" val="0.75"/>
        <cfvo type="num" val="0.9"/>
      </iconSet>
    </cfRule>
  </conditionalFormatting>
  <conditionalFormatting sqref="AE5:AE23">
    <cfRule type="iconSet" priority="31">
      <iconSet>
        <cfvo type="num" val="0"/>
        <cfvo type="num" val="0.75"/>
        <cfvo type="num" val="0.9"/>
      </iconSet>
    </cfRule>
  </conditionalFormatting>
  <conditionalFormatting sqref="AE24">
    <cfRule type="iconSet" priority="57">
      <iconSet reverse="1">
        <cfvo type="num" val="0"/>
        <cfvo type="num" val="7.5"/>
        <cfvo type="num" val="9"/>
      </iconSet>
    </cfRule>
  </conditionalFormatting>
  <conditionalFormatting sqref="AE25">
    <cfRule type="iconSet" priority="58">
      <iconSet reverse="1">
        <cfvo type="num" val="0"/>
        <cfvo type="num" val="0.75"/>
        <cfvo type="num" val="0.9"/>
      </iconSet>
    </cfRule>
  </conditionalFormatting>
  <conditionalFormatting sqref="AH5:AH23">
    <cfRule type="iconSet" priority="34">
      <iconSet>
        <cfvo type="num" val="0"/>
        <cfvo type="num" val="0.75"/>
        <cfvo type="num" val="0.9"/>
      </iconSet>
    </cfRule>
  </conditionalFormatting>
  <conditionalFormatting sqref="AH24">
    <cfRule type="iconSet" priority="59">
      <iconSet reverse="1">
        <cfvo type="num" val="0"/>
        <cfvo type="num" val="7.5"/>
        <cfvo type="num" val="9"/>
      </iconSet>
    </cfRule>
  </conditionalFormatting>
  <conditionalFormatting sqref="AH25">
    <cfRule type="iconSet" priority="60">
      <iconSet reverse="1">
        <cfvo type="num" val="0"/>
        <cfvo type="num" val="0.75"/>
        <cfvo type="num" val="0.9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F4BB-749D-4A94-B6E2-E64931B70DBC}">
  <dimension ref="C5:X18"/>
  <sheetViews>
    <sheetView tabSelected="1" workbookViewId="0">
      <selection activeCell="C12" sqref="C12"/>
    </sheetView>
  </sheetViews>
  <sheetFormatPr defaultRowHeight="14.5" x14ac:dyDescent="0.35"/>
  <sheetData>
    <row r="5" spans="3:24" x14ac:dyDescent="0.35">
      <c r="C5" t="s">
        <v>88</v>
      </c>
    </row>
    <row r="6" spans="3:24" x14ac:dyDescent="0.35">
      <c r="C6" t="s">
        <v>80</v>
      </c>
      <c r="X6" t="s">
        <v>81</v>
      </c>
    </row>
    <row r="7" spans="3:24" x14ac:dyDescent="0.35">
      <c r="C7" t="s">
        <v>82</v>
      </c>
    </row>
    <row r="8" spans="3:24" x14ac:dyDescent="0.35">
      <c r="C8" t="s">
        <v>83</v>
      </c>
    </row>
    <row r="9" spans="3:24" x14ac:dyDescent="0.35">
      <c r="C9" t="s">
        <v>84</v>
      </c>
    </row>
    <row r="10" spans="3:24" x14ac:dyDescent="0.35">
      <c r="C10" t="s">
        <v>89</v>
      </c>
    </row>
    <row r="11" spans="3:24" x14ac:dyDescent="0.35">
      <c r="C11" t="s">
        <v>91</v>
      </c>
    </row>
    <row r="12" spans="3:24" x14ac:dyDescent="0.35">
      <c r="C12" t="s">
        <v>92</v>
      </c>
    </row>
    <row r="15" spans="3:24" x14ac:dyDescent="0.35">
      <c r="C15" t="s">
        <v>85</v>
      </c>
    </row>
    <row r="16" spans="3:24" x14ac:dyDescent="0.35">
      <c r="C16" t="s">
        <v>86</v>
      </c>
    </row>
    <row r="17" spans="3:3" x14ac:dyDescent="0.35">
      <c r="C17" t="s">
        <v>90</v>
      </c>
    </row>
    <row r="18" spans="3:3" x14ac:dyDescent="0.35">
      <c r="C1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6"/>
  <sheetViews>
    <sheetView showGridLines="0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4.5" x14ac:dyDescent="0.35"/>
  <cols>
    <col min="2" max="2" width="58" customWidth="1"/>
    <col min="3" max="3" width="78" customWidth="1"/>
  </cols>
  <sheetData>
    <row r="2" spans="2:3" ht="19.5" x14ac:dyDescent="0.45">
      <c r="B2" s="12" t="s">
        <v>48</v>
      </c>
    </row>
    <row r="4" spans="2:3" x14ac:dyDescent="0.35">
      <c r="B4" s="13" t="s">
        <v>49</v>
      </c>
      <c r="C4" s="13" t="s">
        <v>50</v>
      </c>
    </row>
    <row r="5" spans="2:3" ht="29" x14ac:dyDescent="0.35">
      <c r="B5" s="13" t="s">
        <v>51</v>
      </c>
      <c r="C5" s="13" t="s">
        <v>52</v>
      </c>
    </row>
    <row r="6" spans="2:3" ht="29" x14ac:dyDescent="0.35">
      <c r="B6" s="13" t="s">
        <v>53</v>
      </c>
      <c r="C6" s="13" t="s">
        <v>54</v>
      </c>
    </row>
    <row r="7" spans="2:3" ht="29" x14ac:dyDescent="0.35">
      <c r="B7" s="13" t="s">
        <v>55</v>
      </c>
      <c r="C7" s="13" t="s">
        <v>56</v>
      </c>
    </row>
    <row r="8" spans="2:3" ht="29" x14ac:dyDescent="0.35">
      <c r="B8" s="13" t="s">
        <v>57</v>
      </c>
      <c r="C8" s="13" t="s">
        <v>58</v>
      </c>
    </row>
    <row r="9" spans="2:3" ht="29" x14ac:dyDescent="0.35">
      <c r="B9" s="13" t="s">
        <v>59</v>
      </c>
      <c r="C9" s="13" t="s">
        <v>60</v>
      </c>
    </row>
    <row r="10" spans="2:3" x14ac:dyDescent="0.35">
      <c r="B10" s="13"/>
      <c r="C10" s="13"/>
    </row>
    <row r="11" spans="2:3" x14ac:dyDescent="0.35">
      <c r="B11" s="14" t="s">
        <v>61</v>
      </c>
      <c r="C11" s="14" t="s">
        <v>62</v>
      </c>
    </row>
    <row r="12" spans="2:3" x14ac:dyDescent="0.35">
      <c r="B12" s="13" t="s">
        <v>14</v>
      </c>
      <c r="C12" s="13" t="s">
        <v>63</v>
      </c>
    </row>
    <row r="13" spans="2:3" x14ac:dyDescent="0.35">
      <c r="B13" s="13" t="s">
        <v>22</v>
      </c>
      <c r="C13" s="13" t="s">
        <v>63</v>
      </c>
    </row>
    <row r="14" spans="2:3" x14ac:dyDescent="0.35">
      <c r="B14" s="13" t="s">
        <v>18</v>
      </c>
      <c r="C14" s="13" t="s">
        <v>63</v>
      </c>
    </row>
    <row r="15" spans="2:3" x14ac:dyDescent="0.35">
      <c r="B15" s="13" t="s">
        <v>12</v>
      </c>
      <c r="C15" s="13" t="s">
        <v>64</v>
      </c>
    </row>
    <row r="16" spans="2:3" x14ac:dyDescent="0.35">
      <c r="B16" s="13" t="s">
        <v>16</v>
      </c>
      <c r="C16" s="13" t="s">
        <v>65</v>
      </c>
    </row>
    <row r="17" spans="2:3" x14ac:dyDescent="0.35">
      <c r="B17" s="13" t="s">
        <v>8</v>
      </c>
      <c r="C17" s="13" t="s">
        <v>65</v>
      </c>
    </row>
    <row r="18" spans="2:3" x14ac:dyDescent="0.35">
      <c r="B18" s="13" t="s">
        <v>6</v>
      </c>
      <c r="C18" s="13" t="s">
        <v>66</v>
      </c>
    </row>
    <row r="19" spans="2:3" x14ac:dyDescent="0.35">
      <c r="B19" s="13" t="s">
        <v>20</v>
      </c>
      <c r="C19" s="13" t="s">
        <v>66</v>
      </c>
    </row>
    <row r="20" spans="2:3" x14ac:dyDescent="0.35">
      <c r="B20" s="13" t="s">
        <v>10</v>
      </c>
      <c r="C20" s="13" t="s">
        <v>66</v>
      </c>
    </row>
    <row r="21" spans="2:3" x14ac:dyDescent="0.35">
      <c r="B21" s="13" t="s">
        <v>24</v>
      </c>
      <c r="C21" s="13" t="s">
        <v>67</v>
      </c>
    </row>
    <row r="22" spans="2:3" x14ac:dyDescent="0.35">
      <c r="B22" s="13"/>
      <c r="C22" s="13"/>
    </row>
    <row r="23" spans="2:3" x14ac:dyDescent="0.35">
      <c r="B23" t="s">
        <v>68</v>
      </c>
      <c r="C23" t="s">
        <v>69</v>
      </c>
    </row>
    <row r="25" spans="2:3" ht="43.5" x14ac:dyDescent="0.35">
      <c r="B25" s="13" t="s">
        <v>70</v>
      </c>
      <c r="C25" s="13" t="s">
        <v>71</v>
      </c>
    </row>
    <row r="26" spans="2:3" ht="29" x14ac:dyDescent="0.35">
      <c r="B26" s="13" t="s">
        <v>72</v>
      </c>
      <c r="C26" s="13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5" customWidth="1"/>
    <col min="3" max="3" width="58" customWidth="1"/>
    <col min="4" max="4" width="60" customWidth="1"/>
    <col min="5" max="5" width="16" customWidth="1"/>
  </cols>
  <sheetData>
    <row r="1" spans="1:5" x14ac:dyDescent="0.35">
      <c r="A1" s="18" t="s">
        <v>74</v>
      </c>
      <c r="B1" s="18" t="s">
        <v>75</v>
      </c>
      <c r="C1" s="18" t="s">
        <v>61</v>
      </c>
      <c r="D1" s="18" t="s">
        <v>76</v>
      </c>
      <c r="E1" s="18" t="s">
        <v>77</v>
      </c>
    </row>
    <row r="2" spans="1:5" x14ac:dyDescent="0.35">
      <c r="A2" t="s">
        <v>63</v>
      </c>
      <c r="B2" s="10" t="s">
        <v>78</v>
      </c>
      <c r="C2" t="s">
        <v>18</v>
      </c>
      <c r="D2" t="s">
        <v>32</v>
      </c>
      <c r="E2" s="19">
        <v>0.99199999999999999</v>
      </c>
    </row>
    <row r="3" spans="1:5" x14ac:dyDescent="0.35">
      <c r="A3" t="s">
        <v>63</v>
      </c>
      <c r="B3" s="9" t="s">
        <v>79</v>
      </c>
      <c r="C3" t="s">
        <v>14</v>
      </c>
      <c r="D3" t="s">
        <v>31</v>
      </c>
      <c r="E3" s="19">
        <v>0.47899999999999998</v>
      </c>
    </row>
    <row r="4" spans="1:5" x14ac:dyDescent="0.35">
      <c r="A4" t="s">
        <v>64</v>
      </c>
      <c r="B4" s="10" t="s">
        <v>78</v>
      </c>
      <c r="C4" t="s">
        <v>12</v>
      </c>
      <c r="D4" t="s">
        <v>32</v>
      </c>
      <c r="E4" s="19">
        <v>0.97499999999999998</v>
      </c>
    </row>
    <row r="5" spans="1:5" x14ac:dyDescent="0.35">
      <c r="A5" t="s">
        <v>64</v>
      </c>
      <c r="B5" s="9" t="s">
        <v>79</v>
      </c>
      <c r="C5" t="s">
        <v>12</v>
      </c>
      <c r="D5" t="s">
        <v>31</v>
      </c>
      <c r="E5" s="19">
        <v>0.55300000000000005</v>
      </c>
    </row>
    <row r="6" spans="1:5" x14ac:dyDescent="0.35">
      <c r="A6" t="s">
        <v>65</v>
      </c>
      <c r="B6" s="10" t="s">
        <v>78</v>
      </c>
      <c r="C6" t="s">
        <v>8</v>
      </c>
      <c r="D6" t="s">
        <v>40</v>
      </c>
      <c r="E6" s="19">
        <v>0.98799999999999999</v>
      </c>
    </row>
    <row r="7" spans="1:5" x14ac:dyDescent="0.35">
      <c r="A7" t="s">
        <v>65</v>
      </c>
      <c r="B7" s="9" t="s">
        <v>79</v>
      </c>
      <c r="C7" t="s">
        <v>8</v>
      </c>
      <c r="D7" t="s">
        <v>31</v>
      </c>
      <c r="E7" s="19">
        <v>0.45800000000000002</v>
      </c>
    </row>
    <row r="8" spans="1:5" x14ac:dyDescent="0.35">
      <c r="A8" t="s">
        <v>66</v>
      </c>
      <c r="B8" s="10" t="s">
        <v>78</v>
      </c>
      <c r="C8" t="s">
        <v>6</v>
      </c>
      <c r="D8" t="s">
        <v>35</v>
      </c>
      <c r="E8" s="19">
        <v>1</v>
      </c>
    </row>
    <row r="9" spans="1:5" x14ac:dyDescent="0.35">
      <c r="A9" t="s">
        <v>66</v>
      </c>
      <c r="B9" s="9" t="s">
        <v>79</v>
      </c>
      <c r="C9" t="s">
        <v>10</v>
      </c>
      <c r="D9" t="s">
        <v>31</v>
      </c>
      <c r="E9" s="19">
        <v>0.46200000000000002</v>
      </c>
    </row>
    <row r="10" spans="1:5" x14ac:dyDescent="0.35">
      <c r="A10" t="s">
        <v>67</v>
      </c>
      <c r="B10" s="10" t="s">
        <v>78</v>
      </c>
      <c r="C10" t="s">
        <v>24</v>
      </c>
      <c r="D10" t="s">
        <v>40</v>
      </c>
      <c r="E10" s="19">
        <v>0.99</v>
      </c>
    </row>
    <row r="11" spans="1:5" x14ac:dyDescent="0.35">
      <c r="A11" t="s">
        <v>67</v>
      </c>
      <c r="B11" s="9" t="s">
        <v>79</v>
      </c>
      <c r="C11" t="s">
        <v>24</v>
      </c>
      <c r="D11" t="s">
        <v>31</v>
      </c>
      <c r="E11" s="19">
        <v>0.55000000000000004</v>
      </c>
    </row>
  </sheetData>
  <autoFilter ref="A1:E11" xr:uid="{00000000-0009-0000-0000-000002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CDCBAA-DB87-4279-BF36-5B720A58225A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Comparatiu PLAENSA</vt:lpstr>
      <vt:lpstr>Full1</vt:lpstr>
      <vt:lpstr>Llegenda i sectors</vt:lpstr>
      <vt:lpstr>Resum millor i pitjor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Figuerola Ginesta, Gea</dc:creator>
  <cp:lastModifiedBy>Lansaque Alvarez, Kilian</cp:lastModifiedBy>
  <dcterms:created xsi:type="dcterms:W3CDTF">2026-10-30T08:41:15Z</dcterms:created>
  <dcterms:modified xsi:type="dcterms:W3CDTF">2026-10-30T09:22:09Z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{51CDCBAA-DB87-4279-BF36-5B720A58225A}</vt:lpwstr>
  </property>
</Properties>
</file>